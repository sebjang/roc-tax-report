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" sheetId="1" r:id="rId4"/>
    <sheet state="visible" name="Calculation" sheetId="2" r:id="rId5"/>
    <sheet state="visible" name="Scenario_Table" sheetId="3" r:id="rId6"/>
    <sheet state="visible" name="Sources" sheetId="4" r:id="rId7"/>
  </sheets>
  <definedNames/>
  <calcPr/>
  <extLst>
    <ext uri="GoogleSheetsCustomDataVersion2">
      <go:sheetsCustomData xmlns:go="http://customooxmlschemas.google.com/" r:id="rId8" roundtripDataChecksum="dJIzvlViO0RAHuEB3InKIyMKUo7iS2b85QkCzVPwlTA="/>
    </ext>
  </extLst>
</workbook>
</file>

<file path=xl/sharedStrings.xml><?xml version="1.0" encoding="utf-8"?>
<sst xmlns="http://schemas.openxmlformats.org/spreadsheetml/2006/main" count="188" uniqueCount="141">
  <si>
    <t>ROC Tax Burden Formula Workbook / ROC 과세부담 수식 내장 엑셀</t>
  </si>
  <si>
    <t>Input</t>
  </si>
  <si>
    <t>Value</t>
  </si>
  <si>
    <t>Unit</t>
  </si>
  <si>
    <t>Description</t>
  </si>
  <si>
    <t>Lower Bound</t>
  </si>
  <si>
    <t>Upper Bound</t>
  </si>
  <si>
    <t>Rate</t>
  </si>
  <si>
    <t>Deduction</t>
  </si>
  <si>
    <t>Starting Asset A0</t>
  </si>
  <si>
    <t>KRW</t>
  </si>
  <si>
    <t>시작 투자자산</t>
  </si>
  <si>
    <t>Existing Taxable Income</t>
  </si>
  <si>
    <r>
      <rPr>
        <rFont val="맑은 고딕"/>
        <color theme="1"/>
        <sz val="11.0"/>
      </rPr>
      <t>기존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과세표준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소득</t>
    </r>
    <r>
      <rPr>
        <rFont val="Carlito"/>
        <color theme="1"/>
        <sz val="11.0"/>
      </rPr>
      <t>(근로, 사업자 등)</t>
    </r>
  </si>
  <si>
    <t>Distribution Rate y</t>
  </si>
  <si>
    <t>%</t>
  </si>
  <si>
    <t>분배율</t>
  </si>
  <si>
    <t>ROC Ratio r</t>
  </si>
  <si>
    <t>ROC 비중</t>
  </si>
  <si>
    <t>Asset Growth Rate g</t>
  </si>
  <si>
    <r>
      <rPr>
        <rFont val="맑은 고딕"/>
        <color theme="1"/>
        <sz val="11.0"/>
      </rPr>
      <t>자산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성장률</t>
    </r>
    <r>
      <rPr>
        <rFont val="Carlito"/>
        <color theme="1"/>
        <sz val="11.0"/>
      </rPr>
      <t>(T10Y, S&amp;P 500)</t>
    </r>
  </si>
  <si>
    <t>US Withholding Rate</t>
  </si>
  <si>
    <r>
      <rPr>
        <rFont val="맑은 고딕"/>
        <color theme="1"/>
        <sz val="11.0"/>
      </rPr>
      <t>미국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과세대상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배당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원천세율</t>
    </r>
    <r>
      <rPr>
        <rFont val="Carlito"/>
        <color theme="1"/>
        <sz val="11.0"/>
      </rPr>
      <t>, 한미조세협약</t>
    </r>
  </si>
  <si>
    <t>Korea Target Dividend WHT</t>
  </si>
  <si>
    <t>한국 배당소득세 목표 원천세율</t>
  </si>
  <si>
    <t>Local Tax Rate</t>
  </si>
  <si>
    <t>% of income tax</t>
  </si>
  <si>
    <t>지방소득세율</t>
  </si>
  <si>
    <t>Health + LTC Rate</t>
  </si>
  <si>
    <t>건보+장기요양</t>
  </si>
  <si>
    <t>Employee Extra-income Threshold</t>
  </si>
  <si>
    <t>직장가입자 보수외소득 기준</t>
  </si>
  <si>
    <t>Subscriber Type</t>
  </si>
  <si>
    <t>Local</t>
  </si>
  <si>
    <t>Employee/Local</t>
  </si>
  <si>
    <t>직장가입자 또는 지역가입자</t>
  </si>
  <si>
    <t>Single Case Calculation / 단일 사례 계산</t>
  </si>
  <si>
    <t>Item</t>
  </si>
  <si>
    <t>Explanation</t>
  </si>
  <si>
    <t>Formula</t>
  </si>
  <si>
    <t>시작자산</t>
  </si>
  <si>
    <t>=Inputs!B4</t>
  </si>
  <si>
    <t>기존 과세표준</t>
  </si>
  <si>
    <t>=Inputs!B5</t>
  </si>
  <si>
    <t>=Inputs!B6</t>
  </si>
  <si>
    <t>=Inputs!B7</t>
  </si>
  <si>
    <t>Growth Rate g</t>
  </si>
  <si>
    <t>자산 성장률</t>
  </si>
  <si>
    <t>=Inputs!B8</t>
  </si>
  <si>
    <t>Distribution D</t>
  </si>
  <si>
    <t>분배금</t>
  </si>
  <si>
    <t>=A0*y</t>
  </si>
  <si>
    <t>Taxable Non-ROC Portion</t>
  </si>
  <si>
    <t>미국 과세대상</t>
  </si>
  <si>
    <t>=D*(1-r)</t>
  </si>
  <si>
    <t>ROC Amount</t>
  </si>
  <si>
    <t>원금반환</t>
  </si>
  <si>
    <t>=D*r</t>
  </si>
  <si>
    <t>US Tax Rate on Whole Distribution</t>
  </si>
  <si>
    <t>전체 분배금 대비 미국세율</t>
  </si>
  <si>
    <t>=15%*(1-r)</t>
  </si>
  <si>
    <t>US Tax Amount</t>
  </si>
  <si>
    <t>미국세</t>
  </si>
  <si>
    <t>=D*US rate</t>
  </si>
  <si>
    <t>KR Differential WHT Rate</t>
  </si>
  <si>
    <t>한국 14% 목표 원천세와 미국세율 차액</t>
  </si>
  <si>
    <t>=MAX(0,14%-US rate)</t>
  </si>
  <si>
    <t>KR Differential WHT Amount</t>
  </si>
  <si>
    <t>한국 기납 배당소득세 차액</t>
  </si>
  <si>
    <t>=D*diff rate</t>
  </si>
  <si>
    <t>Total Tax Base</t>
  </si>
  <si>
    <t>기존소득 + 분배금</t>
  </si>
  <si>
    <t>=existing income + D</t>
  </si>
  <si>
    <t>Income Tax Before Distribution</t>
  </si>
  <si>
    <t>기존소득 산출세액</t>
  </si>
  <si>
    <t>'Korean bracket formula</t>
  </si>
  <si>
    <t>Income Tax After Distribution</t>
  </si>
  <si>
    <t>합산 후 산출세액</t>
  </si>
  <si>
    <t>Incremental Income Tax</t>
  </si>
  <si>
    <t>분배금으로 증가한 소득세</t>
  </si>
  <si>
    <t>=after-before</t>
  </si>
  <si>
    <t>Incremental Local Tax</t>
  </si>
  <si>
    <t>지방소득세</t>
  </si>
  <si>
    <t>=income tax increment*10%</t>
  </si>
  <si>
    <t>Health + LTC Base</t>
  </si>
  <si>
    <t>직장: 2천만원 초과분, 지역: 전액</t>
  </si>
  <si>
    <t>=IF(Employee,MAX(0,D-threshold),D)</t>
  </si>
  <si>
    <t>Health + LTC Amount</t>
  </si>
  <si>
    <t>=base*8.134%</t>
  </si>
  <si>
    <t>KR Total Additional Burden</t>
  </si>
  <si>
    <t>종소세 증가분 + 지방세 + 건보</t>
  </si>
  <si>
    <t>=income tax+local+health</t>
  </si>
  <si>
    <t>KR Net Cash Due after KR WHT</t>
  </si>
  <si>
    <t>한국 기납 차액원천세 차감 후 추가 현금부담</t>
  </si>
  <si>
    <t>=MAX(0,total burden-KR WHT)</t>
  </si>
  <si>
    <t>KR/US Burden Multiple</t>
  </si>
  <si>
    <t>x</t>
  </si>
  <si>
    <t>한국 총부담 / 미국세</t>
  </si>
  <si>
    <t>=KR total/US tax</t>
  </si>
  <si>
    <t>1Y Asset Reinvested - US</t>
  </si>
  <si>
    <t>분배금 재투자, 미국세 차감</t>
  </si>
  <si>
    <t>=A0*(1+g)-US tax</t>
  </si>
  <si>
    <t>1Y Asset Reinvested - KR</t>
  </si>
  <si>
    <t>분배금 재투자, 한국 총부담 차감</t>
  </si>
  <si>
    <t>=A0*(1+g)-KR burden</t>
  </si>
  <si>
    <t>1Y Asset Consumed - US</t>
  </si>
  <si>
    <t>분배금 소비, 미국</t>
  </si>
  <si>
    <t>=A0*(1+g)-D-US tax</t>
  </si>
  <si>
    <t>1Y Asset Consumed - KR</t>
  </si>
  <si>
    <t>분배금 소비, 한국, 자기자본 피해금액</t>
  </si>
  <si>
    <t>=A0*(1+g)-D-KR burden</t>
  </si>
  <si>
    <t>1Y Asset Consumed DIFF. - KR-US</t>
  </si>
  <si>
    <t>한국거주자 자기자본과세 피해금액</t>
  </si>
  <si>
    <t>=A0*(1+g)-D-KR burden -A0*(1+g)-D-US tax</t>
  </si>
  <si>
    <t>Scenario Table / 분배율·ROC 비중별 계산표</t>
  </si>
  <si>
    <t>US Tax Rate</t>
  </si>
  <si>
    <t>KR Diff WHT Rate</t>
  </si>
  <si>
    <t>KR Diff WHT Amount</t>
  </si>
  <si>
    <t>KR Total Burden</t>
  </si>
  <si>
    <t>KR/US Multiple</t>
  </si>
  <si>
    <t>1Y Reinvested US Asset</t>
  </si>
  <si>
    <t>1Y Reinvested KR Asset</t>
  </si>
  <si>
    <t>Sources / 근거</t>
  </si>
  <si>
    <t>Topic</t>
  </si>
  <si>
    <t>URL</t>
  </si>
  <si>
    <t>Note</t>
  </si>
  <si>
    <t>IRS ROC treatment</t>
  </si>
  <si>
    <t>https://www.irs.gov/taxtopics/tc404</t>
  </si>
  <si>
    <t>ROC/nondividend distribution basis reduction reference.</t>
  </si>
  <si>
    <t>Korea individual tax</t>
  </si>
  <si>
    <t>https://taxsummaries.pwc.com/republic-of-korea/individual/taxes-on-personal-income</t>
  </si>
  <si>
    <t>Income tax brackets and local tax reference.</t>
  </si>
  <si>
    <t>NHIS contribution</t>
  </si>
  <si>
    <t>https://www.nhis.or.kr/english/wbheaa02500m01.do</t>
  </si>
  <si>
    <t>Health insurance and LTC reference.</t>
  </si>
  <si>
    <t>User model</t>
  </si>
  <si>
    <t>Conversation-provided logic</t>
  </si>
  <si>
    <t>KR differential withholding = MAX(0,14%-US tax rate).</t>
  </si>
  <si>
    <t>Workbook</t>
  </si>
  <si>
    <t>Formula-driven</t>
  </si>
  <si>
    <t>Edit Inputs sheet to update all outputs.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</si>
</sst>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\x"/>
  </numFmts>
  <fonts count="7">
    <font>
      <sz val="11.0"/>
      <color rgb="FF000000"/>
      <name val="Carlito"/>
      <scheme val="minor"/>
    </font>
    <font>
      <b/>
      <sz val="14.0"/>
      <color rgb="FFFFFFFF"/>
      <name val="Carlito"/>
    </font>
    <font/>
    <font>
      <b/>
      <sz val="11.0"/>
      <color rgb="FFFFFFFF"/>
      <name val="Carlito"/>
    </font>
    <font>
      <color theme="1"/>
      <name val="Carlito"/>
      <scheme val="minor"/>
    </font>
    <font>
      <sz val="11.0"/>
      <color theme="1"/>
      <name val="Carlito"/>
    </font>
    <font>
      <sz val="11.0"/>
      <color rgb="FF666666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00FF00"/>
        <bgColor rgb="FF00FF0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ck">
        <color rgb="FF980000"/>
      </left>
      <right style="thick">
        <color rgb="FF980000"/>
      </right>
      <top style="thick">
        <color rgb="FF980000"/>
      </top>
      <bottom style="thick">
        <color rgb="FF98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/>
    </xf>
    <xf borderId="0" fillId="0" fontId="4" numFmtId="0" xfId="0" applyFont="1"/>
    <xf borderId="0" fillId="3" fontId="5" numFmtId="3" xfId="0" applyFill="1" applyFont="1" applyNumberFormat="1"/>
    <xf borderId="0" fillId="0" fontId="5" numFmtId="3" xfId="0" applyFont="1" applyNumberFormat="1"/>
    <xf borderId="0" fillId="0" fontId="5" numFmtId="9" xfId="0" applyFont="1" applyNumberFormat="1"/>
    <xf borderId="0" fillId="0" fontId="5" numFmtId="0" xfId="0" applyFont="1"/>
    <xf borderId="0" fillId="0" fontId="5" numFmtId="10" xfId="0" applyFont="1" applyNumberFormat="1"/>
    <xf borderId="0" fillId="3" fontId="5" numFmtId="10" xfId="0" applyFont="1" applyNumberFormat="1"/>
    <xf borderId="0" fillId="0" fontId="6" numFmtId="0" xfId="0" applyAlignment="1" applyFont="1">
      <alignment shrinkToFit="0" wrapText="1"/>
    </xf>
    <xf borderId="0" fillId="0" fontId="5" numFmtId="164" xfId="0" applyFont="1" applyNumberFormat="1"/>
    <xf borderId="0" fillId="0" fontId="5" numFmtId="0" xfId="0" applyAlignment="1" applyFont="1">
      <alignment readingOrder="0"/>
    </xf>
    <xf borderId="5" fillId="0" fontId="5" numFmtId="3" xfId="0" applyBorder="1" applyFont="1" applyNumberFormat="1"/>
    <xf quotePrefix="1" borderId="0" fillId="0" fontId="6" numFmtId="0" xfId="0" applyAlignment="1" applyFont="1">
      <alignment readingOrder="0" shrinkToFit="0" wrapText="1"/>
    </xf>
    <xf borderId="4" fillId="2" fontId="3" numFmtId="0" xfId="0" applyAlignment="1" applyBorder="1" applyFont="1">
      <alignment horizontal="center" shrinkToFit="0" wrapText="1"/>
    </xf>
    <xf borderId="0" fillId="0" fontId="5" numFmtId="9" xfId="0" applyFont="1" applyNumberFormat="1"/>
    <xf borderId="0" fillId="0" fontId="5" numFmtId="3" xfId="0" applyFont="1" applyNumberFormat="1"/>
    <xf borderId="0" fillId="0" fontId="5" numFmtId="10" xfId="0" applyFont="1" applyNumberFormat="1"/>
    <xf borderId="0" fillId="0" fontId="5" numFmtId="164" xfId="0" applyFont="1" applyNumberFormat="1"/>
    <xf borderId="4" fillId="2" fontId="3" numFmtId="0" xfId="0" applyAlignment="1" applyBorder="1" applyFont="1">
      <alignment horizontal="center" shrinkToFit="0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</dxfs>
  <tableStyles count="1">
    <tableStyle count="3" pivot="0" name="Scenario_Tabl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K39" displayName="Table_1" name="Table_1" id="1">
  <tableColumns count="11">
    <tableColumn name="Distribution Rate y" id="1"/>
    <tableColumn name="ROC Ratio r" id="2"/>
    <tableColumn name="Distribution D" id="3"/>
    <tableColumn name="US Tax Rate" id="4"/>
    <tableColumn name="US Tax Amount" id="5"/>
    <tableColumn name="KR Diff WHT Rate" id="6"/>
    <tableColumn name="KR Diff WHT Amount" id="7"/>
    <tableColumn name="KR Total Burden" id="8"/>
    <tableColumn name="KR/US Multiple" id="9"/>
    <tableColumn name="1Y Reinvested US Asset" id="10"/>
    <tableColumn name="1Y Reinvested KR Asset" id="11"/>
  </tableColumns>
  <tableStyleInfo name="Scenario_Tab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16.0"/>
    <col customWidth="1" min="3" max="3" width="18.13"/>
    <col customWidth="1" min="4" max="4" width="42.0"/>
    <col customWidth="1" min="5" max="5" width="8.63"/>
    <col customWidth="1" min="6" max="9" width="15.0"/>
    <col customWidth="1" min="10" max="26" width="8.63"/>
  </cols>
  <sheetData>
    <row r="1" ht="13.5" customHeight="1">
      <c r="A1" s="1" t="s">
        <v>0</v>
      </c>
      <c r="B1" s="2"/>
      <c r="C1" s="2"/>
      <c r="D1" s="2"/>
      <c r="E1" s="2"/>
      <c r="F1" s="3"/>
    </row>
    <row r="2" ht="13.5" customHeight="1"/>
    <row r="3" ht="13.5" customHeight="1">
      <c r="A3" s="4" t="s">
        <v>1</v>
      </c>
      <c r="B3" s="4" t="s">
        <v>2</v>
      </c>
      <c r="C3" s="4" t="s">
        <v>3</v>
      </c>
      <c r="D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ht="13.5" customHeight="1">
      <c r="A4" s="5" t="s">
        <v>9</v>
      </c>
      <c r="B4" s="6">
        <v>8.231E8</v>
      </c>
      <c r="C4" s="5" t="s">
        <v>10</v>
      </c>
      <c r="D4" s="5" t="s">
        <v>11</v>
      </c>
      <c r="F4" s="7">
        <v>0.0</v>
      </c>
      <c r="G4" s="7">
        <v>1.4E7</v>
      </c>
      <c r="H4" s="8">
        <v>0.06</v>
      </c>
      <c r="I4" s="7">
        <v>0.0</v>
      </c>
    </row>
    <row r="5" ht="13.5" customHeight="1">
      <c r="A5" s="5" t="s">
        <v>12</v>
      </c>
      <c r="B5" s="6">
        <v>9000000.0</v>
      </c>
      <c r="C5" s="5" t="s">
        <v>10</v>
      </c>
      <c r="D5" s="9" t="s">
        <v>13</v>
      </c>
      <c r="F5" s="7">
        <v>1.4E7</v>
      </c>
      <c r="G5" s="7">
        <v>5.0E7</v>
      </c>
      <c r="H5" s="8">
        <v>0.14</v>
      </c>
      <c r="I5" s="7">
        <v>1260000.0</v>
      </c>
    </row>
    <row r="6" ht="13.5" customHeight="1">
      <c r="A6" s="5" t="s">
        <v>14</v>
      </c>
      <c r="B6" s="10">
        <v>1.0</v>
      </c>
      <c r="C6" s="5" t="s">
        <v>15</v>
      </c>
      <c r="D6" s="5" t="s">
        <v>16</v>
      </c>
      <c r="F6" s="7">
        <v>5.0E7</v>
      </c>
      <c r="G6" s="7">
        <v>8.8E7</v>
      </c>
      <c r="H6" s="8">
        <v>0.24</v>
      </c>
      <c r="I6" s="7">
        <v>6260000.0</v>
      </c>
    </row>
    <row r="7" ht="13.5" customHeight="1">
      <c r="A7" s="5" t="s">
        <v>17</v>
      </c>
      <c r="B7" s="11">
        <v>0.89</v>
      </c>
      <c r="C7" s="5" t="s">
        <v>15</v>
      </c>
      <c r="D7" s="5" t="s">
        <v>18</v>
      </c>
      <c r="F7" s="7">
        <v>8.8E7</v>
      </c>
      <c r="G7" s="7">
        <v>1.5E8</v>
      </c>
      <c r="H7" s="8">
        <v>0.35</v>
      </c>
      <c r="I7" s="7">
        <v>1.594E7</v>
      </c>
    </row>
    <row r="8" ht="13.5" customHeight="1">
      <c r="A8" s="5" t="s">
        <v>19</v>
      </c>
      <c r="B8" s="10">
        <v>0.0</v>
      </c>
      <c r="C8" s="5" t="s">
        <v>15</v>
      </c>
      <c r="D8" s="9" t="s">
        <v>20</v>
      </c>
      <c r="F8" s="7">
        <v>1.5E8</v>
      </c>
      <c r="G8" s="7">
        <v>3.0E8</v>
      </c>
      <c r="H8" s="8">
        <v>0.38</v>
      </c>
      <c r="I8" s="7">
        <v>2.044E7</v>
      </c>
    </row>
    <row r="9" ht="13.5" customHeight="1">
      <c r="A9" s="5" t="s">
        <v>21</v>
      </c>
      <c r="B9" s="10">
        <v>0.15</v>
      </c>
      <c r="C9" s="5" t="s">
        <v>15</v>
      </c>
      <c r="D9" s="9" t="s">
        <v>22</v>
      </c>
      <c r="F9" s="7">
        <v>3.0E8</v>
      </c>
      <c r="G9" s="7">
        <v>5.0E8</v>
      </c>
      <c r="H9" s="8">
        <v>0.4</v>
      </c>
      <c r="I9" s="7">
        <v>2.544E7</v>
      </c>
    </row>
    <row r="10" ht="13.5" customHeight="1">
      <c r="A10" s="5" t="s">
        <v>23</v>
      </c>
      <c r="B10" s="10">
        <v>0.14</v>
      </c>
      <c r="C10" s="5" t="s">
        <v>15</v>
      </c>
      <c r="D10" s="5" t="s">
        <v>24</v>
      </c>
      <c r="F10" s="7">
        <v>5.0E8</v>
      </c>
      <c r="G10" s="7">
        <v>1.0E9</v>
      </c>
      <c r="H10" s="8">
        <v>0.42</v>
      </c>
      <c r="I10" s="7">
        <v>3.544E7</v>
      </c>
    </row>
    <row r="11" ht="13.5" customHeight="1">
      <c r="A11" s="5" t="s">
        <v>25</v>
      </c>
      <c r="B11" s="10">
        <v>0.1</v>
      </c>
      <c r="C11" s="5" t="s">
        <v>26</v>
      </c>
      <c r="D11" s="5" t="s">
        <v>27</v>
      </c>
      <c r="F11" s="7">
        <v>1.0E9</v>
      </c>
      <c r="G11" s="7"/>
      <c r="H11" s="8">
        <v>0.45</v>
      </c>
      <c r="I11" s="7">
        <v>7.234E7</v>
      </c>
    </row>
    <row r="12" ht="13.5" customHeight="1">
      <c r="A12" s="5" t="s">
        <v>28</v>
      </c>
      <c r="B12" s="11">
        <f>8.134%</f>
        <v>0.08134</v>
      </c>
      <c r="C12" s="5" t="s">
        <v>15</v>
      </c>
      <c r="D12" s="5" t="s">
        <v>29</v>
      </c>
    </row>
    <row r="13" ht="13.5" customHeight="1">
      <c r="A13" s="5" t="s">
        <v>30</v>
      </c>
      <c r="B13" s="7">
        <v>2.0E7</v>
      </c>
      <c r="C13" s="5" t="s">
        <v>10</v>
      </c>
      <c r="D13" s="5" t="s">
        <v>31</v>
      </c>
    </row>
    <row r="14" ht="13.5" customHeight="1">
      <c r="A14" s="5" t="s">
        <v>32</v>
      </c>
      <c r="B14" s="6" t="s">
        <v>33</v>
      </c>
      <c r="C14" s="5" t="s">
        <v>34</v>
      </c>
      <c r="D14" s="5" t="s">
        <v>35</v>
      </c>
    </row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F1"/>
  </mergeCells>
  <dataValidations>
    <dataValidation type="list" allowBlank="1" sqref="B14">
      <formula1>"Employee,Local"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2" width="20.38"/>
    <col customWidth="1" min="3" max="3" width="9.38"/>
    <col customWidth="1" min="4" max="4" width="42.0"/>
    <col customWidth="1" min="5" max="5" width="45.0"/>
    <col customWidth="1" min="6" max="26" width="8.63"/>
  </cols>
  <sheetData>
    <row r="1" ht="13.5" customHeight="1">
      <c r="A1" s="1" t="s">
        <v>36</v>
      </c>
      <c r="B1" s="2"/>
      <c r="C1" s="2"/>
      <c r="D1" s="2"/>
      <c r="E1" s="3"/>
    </row>
    <row r="2" ht="13.5" customHeight="1"/>
    <row r="3" ht="13.5" customHeight="1">
      <c r="A3" s="4" t="s">
        <v>37</v>
      </c>
      <c r="B3" s="4" t="s">
        <v>2</v>
      </c>
      <c r="C3" s="4" t="s">
        <v>3</v>
      </c>
      <c r="D3" s="4" t="s">
        <v>38</v>
      </c>
      <c r="E3" s="4" t="s">
        <v>39</v>
      </c>
    </row>
    <row r="4" ht="13.5" customHeight="1">
      <c r="A4" s="9" t="s">
        <v>9</v>
      </c>
      <c r="B4" s="7">
        <f>Inputs!B4</f>
        <v>823100000</v>
      </c>
      <c r="C4" s="9" t="s">
        <v>10</v>
      </c>
      <c r="D4" s="9" t="s">
        <v>40</v>
      </c>
      <c r="E4" s="12" t="s">
        <v>41</v>
      </c>
    </row>
    <row r="5" ht="13.5" customHeight="1">
      <c r="A5" s="9" t="s">
        <v>12</v>
      </c>
      <c r="B5" s="7">
        <f>Inputs!B5</f>
        <v>9000000</v>
      </c>
      <c r="C5" s="9" t="s">
        <v>10</v>
      </c>
      <c r="D5" s="9" t="s">
        <v>42</v>
      </c>
      <c r="E5" s="12" t="s">
        <v>43</v>
      </c>
    </row>
    <row r="6" ht="13.5" customHeight="1">
      <c r="A6" s="9" t="s">
        <v>14</v>
      </c>
      <c r="B6" s="10">
        <f>Inputs!B6</f>
        <v>1</v>
      </c>
      <c r="C6" s="9" t="s">
        <v>15</v>
      </c>
      <c r="D6" s="9" t="s">
        <v>16</v>
      </c>
      <c r="E6" s="12" t="s">
        <v>44</v>
      </c>
    </row>
    <row r="7" ht="13.5" customHeight="1">
      <c r="A7" s="9" t="s">
        <v>17</v>
      </c>
      <c r="B7" s="10">
        <f>Inputs!B7</f>
        <v>0.89</v>
      </c>
      <c r="C7" s="9" t="s">
        <v>15</v>
      </c>
      <c r="D7" s="9" t="s">
        <v>18</v>
      </c>
      <c r="E7" s="12" t="s">
        <v>45</v>
      </c>
    </row>
    <row r="8" ht="13.5" customHeight="1">
      <c r="A8" s="9" t="s">
        <v>46</v>
      </c>
      <c r="B8" s="10">
        <f>Inputs!B8</f>
        <v>0</v>
      </c>
      <c r="C8" s="9" t="s">
        <v>15</v>
      </c>
      <c r="D8" s="9" t="s">
        <v>47</v>
      </c>
      <c r="E8" s="12" t="s">
        <v>48</v>
      </c>
    </row>
    <row r="9" ht="13.5" customHeight="1">
      <c r="A9" s="9" t="s">
        <v>49</v>
      </c>
      <c r="B9" s="7">
        <f>B4*B6</f>
        <v>823100000</v>
      </c>
      <c r="C9" s="9" t="s">
        <v>10</v>
      </c>
      <c r="D9" s="9" t="s">
        <v>50</v>
      </c>
      <c r="E9" s="12" t="s">
        <v>51</v>
      </c>
    </row>
    <row r="10" ht="13.5" customHeight="1">
      <c r="A10" s="9" t="s">
        <v>52</v>
      </c>
      <c r="B10" s="7">
        <f>B9*(1-B7)</f>
        <v>90541000</v>
      </c>
      <c r="C10" s="9" t="s">
        <v>10</v>
      </c>
      <c r="D10" s="9" t="s">
        <v>53</v>
      </c>
      <c r="E10" s="12" t="s">
        <v>54</v>
      </c>
    </row>
    <row r="11" ht="13.5" customHeight="1">
      <c r="A11" s="9" t="s">
        <v>55</v>
      </c>
      <c r="B11" s="7">
        <f>B9*B7</f>
        <v>732559000</v>
      </c>
      <c r="C11" s="9" t="s">
        <v>10</v>
      </c>
      <c r="D11" s="9" t="s">
        <v>56</v>
      </c>
      <c r="E11" s="12" t="s">
        <v>57</v>
      </c>
    </row>
    <row r="12" ht="13.5" customHeight="1">
      <c r="A12" s="9" t="s">
        <v>58</v>
      </c>
      <c r="B12" s="10">
        <f>Inputs!B9*(1-B7)</f>
        <v>0.0165</v>
      </c>
      <c r="C12" s="9" t="s">
        <v>15</v>
      </c>
      <c r="D12" s="9" t="s">
        <v>59</v>
      </c>
      <c r="E12" s="12" t="s">
        <v>60</v>
      </c>
    </row>
    <row r="13" ht="13.5" customHeight="1">
      <c r="A13" s="9" t="s">
        <v>61</v>
      </c>
      <c r="B13" s="7">
        <f>B9*B12</f>
        <v>13581150</v>
      </c>
      <c r="C13" s="9" t="s">
        <v>10</v>
      </c>
      <c r="D13" s="9" t="s">
        <v>62</v>
      </c>
      <c r="E13" s="12" t="s">
        <v>63</v>
      </c>
    </row>
    <row r="14" ht="13.5" customHeight="1">
      <c r="A14" s="9" t="s">
        <v>64</v>
      </c>
      <c r="B14" s="10">
        <f>MAX(0,Inputs!B10-B12)</f>
        <v>0.1235</v>
      </c>
      <c r="C14" s="9" t="s">
        <v>15</v>
      </c>
      <c r="D14" s="9" t="s">
        <v>65</v>
      </c>
      <c r="E14" s="12" t="s">
        <v>66</v>
      </c>
    </row>
    <row r="15" ht="13.5" customHeight="1">
      <c r="A15" s="9" t="s">
        <v>67</v>
      </c>
      <c r="B15" s="7">
        <f>B9*B14</f>
        <v>101652850</v>
      </c>
      <c r="C15" s="9" t="s">
        <v>10</v>
      </c>
      <c r="D15" s="9" t="s">
        <v>68</v>
      </c>
      <c r="E15" s="12" t="s">
        <v>69</v>
      </c>
    </row>
    <row r="16" ht="13.5" customHeight="1">
      <c r="A16" s="9" t="s">
        <v>70</v>
      </c>
      <c r="B16" s="7">
        <f>B5+B9</f>
        <v>832100000</v>
      </c>
      <c r="C16" s="9" t="s">
        <v>10</v>
      </c>
      <c r="D16" s="9" t="s">
        <v>71</v>
      </c>
      <c r="E16" s="12" t="s">
        <v>72</v>
      </c>
    </row>
    <row r="17" ht="13.5" customHeight="1">
      <c r="A17" s="9" t="s">
        <v>73</v>
      </c>
      <c r="B17" s="7">
        <f>MAX(0,IF(B5&lt;=14000000,B5*0.06,IF(B5&lt;=50000000,B5*0.14-1260000,IF(B5&lt;=88000000,B5*0.24-6260000,IF(B5&lt;=150000000,B5*0.35-15940000,IF(B5&lt;=300000000,B5*0.38-20440000,IF(B5&lt;=500000000,B5*0.4-25440000,IF(B5&lt;=1000000000,B5*0.42-35440000,B5*0.45-72340000))))))))</f>
        <v>540000</v>
      </c>
      <c r="C17" s="9" t="s">
        <v>10</v>
      </c>
      <c r="D17" s="9" t="s">
        <v>74</v>
      </c>
      <c r="E17" s="12" t="s">
        <v>75</v>
      </c>
    </row>
    <row r="18" ht="13.5" customHeight="1">
      <c r="A18" s="9" t="s">
        <v>76</v>
      </c>
      <c r="B18" s="7">
        <f>MAX(0,IF(B16&lt;=14000000,B16*0.06,IF(B16&lt;=50000000,B16*0.14-1260000,IF(B16&lt;=88000000,B16*0.24-6260000,IF(B16&lt;=150000000,B16*0.35-15940000,IF(B16&lt;=300000000,B16*0.38-20440000,IF(B16&lt;=500000000,B16*0.4-25440000,IF(B16&lt;=1000000000,B16*0.42-35440000,B16*0.45-72340000))))))))</f>
        <v>314042000</v>
      </c>
      <c r="C18" s="9" t="s">
        <v>10</v>
      </c>
      <c r="D18" s="9" t="s">
        <v>77</v>
      </c>
      <c r="E18" s="12" t="s">
        <v>75</v>
      </c>
    </row>
    <row r="19" ht="13.5" customHeight="1">
      <c r="A19" s="9" t="s">
        <v>78</v>
      </c>
      <c r="B19" s="7">
        <f>B18-B17</f>
        <v>313502000</v>
      </c>
      <c r="C19" s="9" t="s">
        <v>10</v>
      </c>
      <c r="D19" s="9" t="s">
        <v>79</v>
      </c>
      <c r="E19" s="12" t="s">
        <v>80</v>
      </c>
    </row>
    <row r="20" ht="13.5" customHeight="1">
      <c r="A20" s="9" t="s">
        <v>81</v>
      </c>
      <c r="B20" s="7">
        <f>B19*Inputs!B11</f>
        <v>31350200</v>
      </c>
      <c r="C20" s="9" t="s">
        <v>10</v>
      </c>
      <c r="D20" s="9" t="s">
        <v>82</v>
      </c>
      <c r="E20" s="12" t="s">
        <v>83</v>
      </c>
    </row>
    <row r="21" ht="13.5" customHeight="1">
      <c r="A21" s="9" t="s">
        <v>84</v>
      </c>
      <c r="B21" s="7">
        <f>IF(Inputs!B14="Employee",MAX(0,B9-Inputs!B13),B9)</f>
        <v>823100000</v>
      </c>
      <c r="C21" s="9" t="s">
        <v>10</v>
      </c>
      <c r="D21" s="9" t="s">
        <v>85</v>
      </c>
      <c r="E21" s="12" t="s">
        <v>86</v>
      </c>
    </row>
    <row r="22" ht="13.5" customHeight="1">
      <c r="A22" s="9" t="s">
        <v>87</v>
      </c>
      <c r="B22" s="7">
        <f>B21*Inputs!B12</f>
        <v>66950954</v>
      </c>
      <c r="C22" s="9" t="s">
        <v>10</v>
      </c>
      <c r="D22" s="9" t="s">
        <v>29</v>
      </c>
      <c r="E22" s="12" t="s">
        <v>88</v>
      </c>
    </row>
    <row r="23" ht="13.5" customHeight="1">
      <c r="A23" s="9" t="s">
        <v>89</v>
      </c>
      <c r="B23" s="7">
        <f>B19+B20+B22</f>
        <v>411803154</v>
      </c>
      <c r="C23" s="9" t="s">
        <v>10</v>
      </c>
      <c r="D23" s="9" t="s">
        <v>90</v>
      </c>
      <c r="E23" s="12" t="s">
        <v>91</v>
      </c>
    </row>
    <row r="24" ht="13.5" customHeight="1">
      <c r="A24" s="9" t="s">
        <v>92</v>
      </c>
      <c r="B24" s="7">
        <f>MAX(0,B23-B15)</f>
        <v>310150304</v>
      </c>
      <c r="C24" s="9" t="s">
        <v>10</v>
      </c>
      <c r="D24" s="9" t="s">
        <v>93</v>
      </c>
      <c r="E24" s="12" t="s">
        <v>94</v>
      </c>
    </row>
    <row r="25" ht="13.5" customHeight="1">
      <c r="A25" s="9" t="s">
        <v>95</v>
      </c>
      <c r="B25" s="13">
        <f>IF(B13=0,"Undefined",B23/B13)</f>
        <v>30.3216704</v>
      </c>
      <c r="C25" s="9" t="s">
        <v>96</v>
      </c>
      <c r="D25" s="9" t="s">
        <v>97</v>
      </c>
      <c r="E25" s="12" t="s">
        <v>98</v>
      </c>
    </row>
    <row r="26" ht="13.5" customHeight="1">
      <c r="A26" s="9" t="s">
        <v>99</v>
      </c>
      <c r="B26" s="7">
        <f>B4*(1+B8)-B13</f>
        <v>809518850</v>
      </c>
      <c r="C26" s="9" t="s">
        <v>10</v>
      </c>
      <c r="D26" s="9" t="s">
        <v>100</v>
      </c>
      <c r="E26" s="12" t="s">
        <v>101</v>
      </c>
    </row>
    <row r="27" ht="13.5" customHeight="1">
      <c r="A27" s="9" t="s">
        <v>102</v>
      </c>
      <c r="B27" s="7">
        <f>B4*(1+B8)-B23</f>
        <v>411296846</v>
      </c>
      <c r="C27" s="9" t="s">
        <v>10</v>
      </c>
      <c r="D27" s="9" t="s">
        <v>103</v>
      </c>
      <c r="E27" s="12" t="s">
        <v>104</v>
      </c>
    </row>
    <row r="28" ht="13.5" customHeight="1">
      <c r="A28" s="9" t="s">
        <v>105</v>
      </c>
      <c r="B28" s="7">
        <f>B4*(1+B8)-B9-B13</f>
        <v>-13581150</v>
      </c>
      <c r="C28" s="9" t="s">
        <v>10</v>
      </c>
      <c r="D28" s="9" t="s">
        <v>106</v>
      </c>
      <c r="E28" s="12" t="s">
        <v>107</v>
      </c>
    </row>
    <row r="29" ht="13.5" customHeight="1">
      <c r="A29" s="9" t="s">
        <v>108</v>
      </c>
      <c r="B29" s="7">
        <f>B4*(1+B8)-B9-B23</f>
        <v>-411803154</v>
      </c>
      <c r="C29" s="9" t="s">
        <v>10</v>
      </c>
      <c r="D29" s="14" t="s">
        <v>109</v>
      </c>
      <c r="E29" s="12" t="s">
        <v>110</v>
      </c>
    </row>
    <row r="30" ht="13.5" customHeight="1">
      <c r="A30" s="14" t="s">
        <v>111</v>
      </c>
      <c r="B30" s="15">
        <f>B29-B28</f>
        <v>-398222004</v>
      </c>
      <c r="C30" s="9" t="s">
        <v>10</v>
      </c>
      <c r="D30" s="14" t="s">
        <v>112</v>
      </c>
      <c r="E30" s="16" t="s">
        <v>113</v>
      </c>
    </row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18.0"/>
    <col customWidth="1" min="12" max="26" width="8.63"/>
  </cols>
  <sheetData>
    <row r="1" ht="13.5" customHeight="1">
      <c r="A1" s="1" t="s">
        <v>114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3.5" customHeight="1"/>
    <row r="3" ht="13.5" customHeight="1">
      <c r="A3" s="17" t="s">
        <v>14</v>
      </c>
      <c r="B3" s="17" t="s">
        <v>17</v>
      </c>
      <c r="C3" s="17" t="s">
        <v>49</v>
      </c>
      <c r="D3" s="17" t="s">
        <v>115</v>
      </c>
      <c r="E3" s="17" t="s">
        <v>61</v>
      </c>
      <c r="F3" s="17" t="s">
        <v>116</v>
      </c>
      <c r="G3" s="17" t="s">
        <v>117</v>
      </c>
      <c r="H3" s="17" t="s">
        <v>118</v>
      </c>
      <c r="I3" s="17" t="s">
        <v>119</v>
      </c>
      <c r="J3" s="17" t="s">
        <v>120</v>
      </c>
      <c r="K3" s="17" t="s">
        <v>121</v>
      </c>
    </row>
    <row r="4" ht="13.5" customHeight="1">
      <c r="A4" s="18">
        <v>0.5</v>
      </c>
      <c r="B4" s="18">
        <v>0.0</v>
      </c>
      <c r="C4" s="19">
        <f>Inputs!$B$4*A4</f>
        <v>411550000</v>
      </c>
      <c r="D4" s="20">
        <f>Inputs!$B$9*(1-B4)</f>
        <v>0.15</v>
      </c>
      <c r="E4" s="19">
        <f t="shared" ref="E4:E39" si="1">C4*D4</f>
        <v>61732500</v>
      </c>
      <c r="F4" s="20">
        <f>MAX(0,Inputs!$B$10-D4)</f>
        <v>0</v>
      </c>
      <c r="G4" s="19">
        <f t="shared" ref="G4:G39" si="2">C4*F4</f>
        <v>0</v>
      </c>
      <c r="H4" s="19">
        <f>(MAX(0,IF((Inputs!$B$5+C4)&lt;=14000000,(Inputs!$B$5+C4)*0.06,IF((Inputs!$B$5+C4)&lt;=50000000,(Inputs!$B$5+C4)*0.14-1260000,IF((Inputs!$B$5+C4)&lt;=88000000,(Inputs!$B$5+C4)*0.24-6260000,IF((Inputs!$B$5+C4)&lt;=150000000,(Inputs!$B$5+C4)*0.35-15940000,IF((Inputs!$B$5+C4)&lt;=300000000,(Inputs!$B$5+C4)*0.38-20440000,IF((Inputs!$B$5+C4)&lt;=500000000,(Inputs!$B$5+C4)*0.4-25440000,IF((Inputs!$B$5+C4)&lt;=1000000000,(Inputs!$B$5+C4)*0.42-35440000,(Inputs!$B$5+C4)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+(((MAX(0,IF((Inputs!$B$5+C4)&lt;=14000000,(Inputs!$B$5+C4)*0.06,IF((Inputs!$B$5+C4)&lt;=50000000,(Inputs!$B$5+C4)*0.14-1260000,IF((Inputs!$B$5+C4)&lt;=88000000,(Inputs!$B$5+C4)*0.24-6260000,IF((Inputs!$B$5+C4)&lt;=150000000,(Inputs!$B$5+C4)*0.35-15940000,IF((Inputs!$B$5+C4)&lt;=300000000,(Inputs!$B$5+C4)*0.38-20440000,IF((Inputs!$B$5+C4)&lt;=500000000,(Inputs!$B$5+C4)*0.4-25440000,IF((Inputs!$B$5+C4)&lt;=1000000000,(Inputs!$B$5+C4)*0.42-35440000,(Inputs!$B$5+C4)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)*Inputs!$B$11)+((IF(Inputs!$B$14="Employee",MAX(0,C4-Inputs!$B$13),C4))*Inputs!$B$12)</f>
        <v>189939477</v>
      </c>
      <c r="I4" s="21">
        <f t="shared" ref="I4:I39" si="3">IF(E4=0,"Undefined",H4/E4)</f>
        <v>3.076814919</v>
      </c>
      <c r="J4" s="19">
        <f>Inputs!$B$4*(1+Inputs!$B$8)-E4</f>
        <v>761367500</v>
      </c>
      <c r="K4" s="19">
        <f>Inputs!$B$4*(1+Inputs!$B$8)-H4</f>
        <v>633160523</v>
      </c>
    </row>
    <row r="5" ht="13.5" customHeight="1">
      <c r="A5" s="18">
        <v>0.5</v>
      </c>
      <c r="B5" s="18">
        <v>0.3</v>
      </c>
      <c r="C5" s="19">
        <f>Inputs!$B$4*A5</f>
        <v>411550000</v>
      </c>
      <c r="D5" s="20">
        <f>Inputs!$B$9*(1-B5)</f>
        <v>0.105</v>
      </c>
      <c r="E5" s="19">
        <f t="shared" si="1"/>
        <v>43212750</v>
      </c>
      <c r="F5" s="20">
        <f>MAX(0,Inputs!$B$10-D5)</f>
        <v>0.035</v>
      </c>
      <c r="G5" s="19">
        <f t="shared" si="2"/>
        <v>14404250</v>
      </c>
      <c r="H5" s="19">
        <f>(MAX(0,IF((Inputs!$B$5+C5)&lt;=14000000,(Inputs!$B$5+C5)*0.06,IF((Inputs!$B$5+C5)&lt;=50000000,(Inputs!$B$5+C5)*0.14-1260000,IF((Inputs!$B$5+C5)&lt;=88000000,(Inputs!$B$5+C5)*0.24-6260000,IF((Inputs!$B$5+C5)&lt;=150000000,(Inputs!$B$5+C5)*0.35-15940000,IF((Inputs!$B$5+C5)&lt;=300000000,(Inputs!$B$5+C5)*0.38-20440000,IF((Inputs!$B$5+C5)&lt;=500000000,(Inputs!$B$5+C5)*0.4-25440000,IF((Inputs!$B$5+C5)&lt;=1000000000,(Inputs!$B$5+C5)*0.42-35440000,(Inputs!$B$5+C5)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+(((MAX(0,IF((Inputs!$B$5+C5)&lt;=14000000,(Inputs!$B$5+C5)*0.06,IF((Inputs!$B$5+C5)&lt;=50000000,(Inputs!$B$5+C5)*0.14-1260000,IF((Inputs!$B$5+C5)&lt;=88000000,(Inputs!$B$5+C5)*0.24-6260000,IF((Inputs!$B$5+C5)&lt;=150000000,(Inputs!$B$5+C5)*0.35-15940000,IF((Inputs!$B$5+C5)&lt;=300000000,(Inputs!$B$5+C5)*0.38-20440000,IF((Inputs!$B$5+C5)&lt;=500000000,(Inputs!$B$5+C5)*0.4-25440000,IF((Inputs!$B$5+C5)&lt;=1000000000,(Inputs!$B$5+C5)*0.42-35440000,(Inputs!$B$5+C5)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)*Inputs!$B$11)+((IF(Inputs!$B$14="Employee",MAX(0,C5-Inputs!$B$13),C5))*Inputs!$B$12)</f>
        <v>189939477</v>
      </c>
      <c r="I5" s="21">
        <f t="shared" si="3"/>
        <v>4.395449885</v>
      </c>
      <c r="J5" s="19">
        <f>Inputs!$B$4*(1+Inputs!$B$8)-E5</f>
        <v>779887250</v>
      </c>
      <c r="K5" s="19">
        <f>Inputs!$B$4*(1+Inputs!$B$8)-H5</f>
        <v>633160523</v>
      </c>
    </row>
    <row r="6" ht="13.5" customHeight="1">
      <c r="A6" s="18">
        <v>0.5</v>
      </c>
      <c r="B6" s="18">
        <v>0.6</v>
      </c>
      <c r="C6" s="19">
        <f>Inputs!$B$4*A6</f>
        <v>411550000</v>
      </c>
      <c r="D6" s="20">
        <f>Inputs!$B$9*(1-B6)</f>
        <v>0.06</v>
      </c>
      <c r="E6" s="19">
        <f t="shared" si="1"/>
        <v>24693000</v>
      </c>
      <c r="F6" s="20">
        <f>MAX(0,Inputs!$B$10-D6)</f>
        <v>0.08</v>
      </c>
      <c r="G6" s="19">
        <f t="shared" si="2"/>
        <v>32924000</v>
      </c>
      <c r="H6" s="19">
        <f>(MAX(0,IF((Inputs!$B$5+C6)&lt;=14000000,(Inputs!$B$5+C6)*0.06,IF((Inputs!$B$5+C6)&lt;=50000000,(Inputs!$B$5+C6)*0.14-1260000,IF((Inputs!$B$5+C6)&lt;=88000000,(Inputs!$B$5+C6)*0.24-6260000,IF((Inputs!$B$5+C6)&lt;=150000000,(Inputs!$B$5+C6)*0.35-15940000,IF((Inputs!$B$5+C6)&lt;=300000000,(Inputs!$B$5+C6)*0.38-20440000,IF((Inputs!$B$5+C6)&lt;=500000000,(Inputs!$B$5+C6)*0.4-25440000,IF((Inputs!$B$5+C6)&lt;=1000000000,(Inputs!$B$5+C6)*0.42-35440000,(Inputs!$B$5+C6)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+(((MAX(0,IF((Inputs!$B$5+C6)&lt;=14000000,(Inputs!$B$5+C6)*0.06,IF((Inputs!$B$5+C6)&lt;=50000000,(Inputs!$B$5+C6)*0.14-1260000,IF((Inputs!$B$5+C6)&lt;=88000000,(Inputs!$B$5+C6)*0.24-6260000,IF((Inputs!$B$5+C6)&lt;=150000000,(Inputs!$B$5+C6)*0.35-15940000,IF((Inputs!$B$5+C6)&lt;=300000000,(Inputs!$B$5+C6)*0.38-20440000,IF((Inputs!$B$5+C6)&lt;=500000000,(Inputs!$B$5+C6)*0.4-25440000,IF((Inputs!$B$5+C6)&lt;=1000000000,(Inputs!$B$5+C6)*0.42-35440000,(Inputs!$B$5+C6)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)*Inputs!$B$11)+((IF(Inputs!$B$14="Employee",MAX(0,C6-Inputs!$B$13),C6))*Inputs!$B$12)</f>
        <v>189939477</v>
      </c>
      <c r="I6" s="21">
        <f t="shared" si="3"/>
        <v>7.692037298</v>
      </c>
      <c r="J6" s="19">
        <f>Inputs!$B$4*(1+Inputs!$B$8)-E6</f>
        <v>798407000</v>
      </c>
      <c r="K6" s="19">
        <f>Inputs!$B$4*(1+Inputs!$B$8)-H6</f>
        <v>633160523</v>
      </c>
    </row>
    <row r="7" ht="13.5" customHeight="1">
      <c r="A7" s="18">
        <v>0.5</v>
      </c>
      <c r="B7" s="18">
        <v>0.9</v>
      </c>
      <c r="C7" s="19">
        <f>Inputs!$B$4*A7</f>
        <v>411550000</v>
      </c>
      <c r="D7" s="20">
        <f>Inputs!$B$9*(1-B7)</f>
        <v>0.015</v>
      </c>
      <c r="E7" s="19">
        <f t="shared" si="1"/>
        <v>6173250</v>
      </c>
      <c r="F7" s="20">
        <f>MAX(0,Inputs!$B$10-D7)</f>
        <v>0.125</v>
      </c>
      <c r="G7" s="19">
        <f t="shared" si="2"/>
        <v>51443750</v>
      </c>
      <c r="H7" s="19">
        <f>(MAX(0,IF((Inputs!$B$5+C7)&lt;=14000000,(Inputs!$B$5+C7)*0.06,IF((Inputs!$B$5+C7)&lt;=50000000,(Inputs!$B$5+C7)*0.14-1260000,IF((Inputs!$B$5+C7)&lt;=88000000,(Inputs!$B$5+C7)*0.24-6260000,IF((Inputs!$B$5+C7)&lt;=150000000,(Inputs!$B$5+C7)*0.35-15940000,IF((Inputs!$B$5+C7)&lt;=300000000,(Inputs!$B$5+C7)*0.38-20440000,IF((Inputs!$B$5+C7)&lt;=500000000,(Inputs!$B$5+C7)*0.4-25440000,IF((Inputs!$B$5+C7)&lt;=1000000000,(Inputs!$B$5+C7)*0.42-35440000,(Inputs!$B$5+C7)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+(((MAX(0,IF((Inputs!$B$5+C7)&lt;=14000000,(Inputs!$B$5+C7)*0.06,IF((Inputs!$B$5+C7)&lt;=50000000,(Inputs!$B$5+C7)*0.14-1260000,IF((Inputs!$B$5+C7)&lt;=88000000,(Inputs!$B$5+C7)*0.24-6260000,IF((Inputs!$B$5+C7)&lt;=150000000,(Inputs!$B$5+C7)*0.35-15940000,IF((Inputs!$B$5+C7)&lt;=300000000,(Inputs!$B$5+C7)*0.38-20440000,IF((Inputs!$B$5+C7)&lt;=500000000,(Inputs!$B$5+C7)*0.4-25440000,IF((Inputs!$B$5+C7)&lt;=1000000000,(Inputs!$B$5+C7)*0.42-35440000,(Inputs!$B$5+C7)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)*Inputs!$B$11)+((IF(Inputs!$B$14="Employee",MAX(0,C7-Inputs!$B$13),C7))*Inputs!$B$12)</f>
        <v>189939477</v>
      </c>
      <c r="I7" s="21">
        <f t="shared" si="3"/>
        <v>30.76814919</v>
      </c>
      <c r="J7" s="19">
        <f>Inputs!$B$4*(1+Inputs!$B$8)-E7</f>
        <v>816926750</v>
      </c>
      <c r="K7" s="19">
        <f>Inputs!$B$4*(1+Inputs!$B$8)-H7</f>
        <v>633160523</v>
      </c>
    </row>
    <row r="8" ht="13.5" customHeight="1">
      <c r="A8" s="18">
        <v>0.5</v>
      </c>
      <c r="B8" s="18">
        <v>0.99</v>
      </c>
      <c r="C8" s="19">
        <f>Inputs!$B$4*A8</f>
        <v>411550000</v>
      </c>
      <c r="D8" s="20">
        <f>Inputs!$B$9*(1-B8)</f>
        <v>0.0015</v>
      </c>
      <c r="E8" s="19">
        <f t="shared" si="1"/>
        <v>617325</v>
      </c>
      <c r="F8" s="20">
        <f>MAX(0,Inputs!$B$10-D8)</f>
        <v>0.1385</v>
      </c>
      <c r="G8" s="19">
        <f t="shared" si="2"/>
        <v>56999675</v>
      </c>
      <c r="H8" s="19">
        <f>(MAX(0,IF((Inputs!$B$5+C8)&lt;=14000000,(Inputs!$B$5+C8)*0.06,IF((Inputs!$B$5+C8)&lt;=50000000,(Inputs!$B$5+C8)*0.14-1260000,IF((Inputs!$B$5+C8)&lt;=88000000,(Inputs!$B$5+C8)*0.24-6260000,IF((Inputs!$B$5+C8)&lt;=150000000,(Inputs!$B$5+C8)*0.35-15940000,IF((Inputs!$B$5+C8)&lt;=300000000,(Inputs!$B$5+C8)*0.38-20440000,IF((Inputs!$B$5+C8)&lt;=500000000,(Inputs!$B$5+C8)*0.4-25440000,IF((Inputs!$B$5+C8)&lt;=1000000000,(Inputs!$B$5+C8)*0.42-35440000,(Inputs!$B$5+C8)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+(((MAX(0,IF((Inputs!$B$5+C8)&lt;=14000000,(Inputs!$B$5+C8)*0.06,IF((Inputs!$B$5+C8)&lt;=50000000,(Inputs!$B$5+C8)*0.14-1260000,IF((Inputs!$B$5+C8)&lt;=88000000,(Inputs!$B$5+C8)*0.24-6260000,IF((Inputs!$B$5+C8)&lt;=150000000,(Inputs!$B$5+C8)*0.35-15940000,IF((Inputs!$B$5+C8)&lt;=300000000,(Inputs!$B$5+C8)*0.38-20440000,IF((Inputs!$B$5+C8)&lt;=500000000,(Inputs!$B$5+C8)*0.4-25440000,IF((Inputs!$B$5+C8)&lt;=1000000000,(Inputs!$B$5+C8)*0.42-35440000,(Inputs!$B$5+C8)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)*Inputs!$B$11)+((IF(Inputs!$B$14="Employee",MAX(0,C8-Inputs!$B$13),C8))*Inputs!$B$12)</f>
        <v>189939477</v>
      </c>
      <c r="I8" s="21">
        <f t="shared" si="3"/>
        <v>307.6814919</v>
      </c>
      <c r="J8" s="19">
        <f>Inputs!$B$4*(1+Inputs!$B$8)-E8</f>
        <v>822482675</v>
      </c>
      <c r="K8" s="19">
        <f>Inputs!$B$4*(1+Inputs!$B$8)-H8</f>
        <v>633160523</v>
      </c>
    </row>
    <row r="9" ht="13.5" customHeight="1">
      <c r="A9" s="18">
        <v>0.5</v>
      </c>
      <c r="B9" s="18">
        <v>1.0</v>
      </c>
      <c r="C9" s="19">
        <f>Inputs!$B$4*A9</f>
        <v>411550000</v>
      </c>
      <c r="D9" s="20">
        <f>Inputs!$B$9*(1-B9)</f>
        <v>0</v>
      </c>
      <c r="E9" s="19">
        <f t="shared" si="1"/>
        <v>0</v>
      </c>
      <c r="F9" s="20">
        <f>MAX(0,Inputs!$B$10-D9)</f>
        <v>0.14</v>
      </c>
      <c r="G9" s="19">
        <f t="shared" si="2"/>
        <v>57617000</v>
      </c>
      <c r="H9" s="19">
        <f>(MAX(0,IF((Inputs!$B$5+C9)&lt;=14000000,(Inputs!$B$5+C9)*0.06,IF((Inputs!$B$5+C9)&lt;=50000000,(Inputs!$B$5+C9)*0.14-1260000,IF((Inputs!$B$5+C9)&lt;=88000000,(Inputs!$B$5+C9)*0.24-6260000,IF((Inputs!$B$5+C9)&lt;=150000000,(Inputs!$B$5+C9)*0.35-15940000,IF((Inputs!$B$5+C9)&lt;=300000000,(Inputs!$B$5+C9)*0.38-20440000,IF((Inputs!$B$5+C9)&lt;=500000000,(Inputs!$B$5+C9)*0.4-25440000,IF((Inputs!$B$5+C9)&lt;=1000000000,(Inputs!$B$5+C9)*0.42-35440000,(Inputs!$B$5+C9)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+(((MAX(0,IF((Inputs!$B$5+C9)&lt;=14000000,(Inputs!$B$5+C9)*0.06,IF((Inputs!$B$5+C9)&lt;=50000000,(Inputs!$B$5+C9)*0.14-1260000,IF((Inputs!$B$5+C9)&lt;=88000000,(Inputs!$B$5+C9)*0.24-6260000,IF((Inputs!$B$5+C9)&lt;=150000000,(Inputs!$B$5+C9)*0.35-15940000,IF((Inputs!$B$5+C9)&lt;=300000000,(Inputs!$B$5+C9)*0.38-20440000,IF((Inputs!$B$5+C9)&lt;=500000000,(Inputs!$B$5+C9)*0.4-25440000,IF((Inputs!$B$5+C9)&lt;=1000000000,(Inputs!$B$5+C9)*0.42-35440000,(Inputs!$B$5+C9)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)*Inputs!$B$11)+((IF(Inputs!$B$14="Employee",MAX(0,C9-Inputs!$B$13),C9))*Inputs!$B$12)</f>
        <v>189939477</v>
      </c>
      <c r="I9" s="21" t="str">
        <f t="shared" si="3"/>
        <v>Undefined</v>
      </c>
      <c r="J9" s="19">
        <f>Inputs!$B$4*(1+Inputs!$B$8)-E9</f>
        <v>823100000</v>
      </c>
      <c r="K9" s="19">
        <f>Inputs!$B$4*(1+Inputs!$B$8)-H9</f>
        <v>633160523</v>
      </c>
    </row>
    <row r="10" ht="13.5" customHeight="1">
      <c r="A10" s="18">
        <v>0.6</v>
      </c>
      <c r="B10" s="18">
        <v>0.0</v>
      </c>
      <c r="C10" s="19">
        <f>Inputs!$B$4*A10</f>
        <v>493860000</v>
      </c>
      <c r="D10" s="20">
        <f>Inputs!$B$9*(1-B10)</f>
        <v>0.15</v>
      </c>
      <c r="E10" s="19">
        <f t="shared" si="1"/>
        <v>74079000</v>
      </c>
      <c r="F10" s="20">
        <f>MAX(0,Inputs!$B$10-D10)</f>
        <v>0</v>
      </c>
      <c r="G10" s="19">
        <f t="shared" si="2"/>
        <v>0</v>
      </c>
      <c r="H10" s="19">
        <f>(MAX(0,IF((Inputs!$B$5+C10)&lt;=14000000,(Inputs!$B$5+C10)*0.06,IF((Inputs!$B$5+C10)&lt;=50000000,(Inputs!$B$5+C10)*0.14-1260000,IF((Inputs!$B$5+C10)&lt;=88000000,(Inputs!$B$5+C10)*0.24-6260000,IF((Inputs!$B$5+C10)&lt;=150000000,(Inputs!$B$5+C10)*0.35-15940000,IF((Inputs!$B$5+C10)&lt;=300000000,(Inputs!$B$5+C10)*0.38-20440000,IF((Inputs!$B$5+C10)&lt;=500000000,(Inputs!$B$5+C10)*0.4-25440000,IF((Inputs!$B$5+C10)&lt;=1000000000,(Inputs!$B$5+C10)*0.42-35440000,(Inputs!$B$5+C10)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+(((MAX(0,IF((Inputs!$B$5+C10)&lt;=14000000,(Inputs!$B$5+C10)*0.06,IF((Inputs!$B$5+C10)&lt;=50000000,(Inputs!$B$5+C10)*0.14-1260000,IF((Inputs!$B$5+C10)&lt;=88000000,(Inputs!$B$5+C10)*0.24-6260000,IF((Inputs!$B$5+C10)&lt;=150000000,(Inputs!$B$5+C10)*0.35-15940000,IF((Inputs!$B$5+C10)&lt;=300000000,(Inputs!$B$5+C10)*0.38-20440000,IF((Inputs!$B$5+C10)&lt;=500000000,(Inputs!$B$5+C10)*0.4-25440000,IF((Inputs!$B$5+C10)&lt;=1000000000,(Inputs!$B$5+C10)*0.42-35440000,(Inputs!$B$5+C10)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)*Inputs!$B$11)+((IF(Inputs!$B$14="Employee",MAX(0,C10-Inputs!$B$13),C10))*Inputs!$B$12)</f>
        <v>232913892.4</v>
      </c>
      <c r="I10" s="21">
        <f t="shared" si="3"/>
        <v>3.144128463</v>
      </c>
      <c r="J10" s="19">
        <f>Inputs!$B$4*(1+Inputs!$B$8)-E10</f>
        <v>749021000</v>
      </c>
      <c r="K10" s="19">
        <f>Inputs!$B$4*(1+Inputs!$B$8)-H10</f>
        <v>590186107.6</v>
      </c>
    </row>
    <row r="11" ht="13.5" customHeight="1">
      <c r="A11" s="18">
        <v>0.6</v>
      </c>
      <c r="B11" s="18">
        <v>0.3</v>
      </c>
      <c r="C11" s="19">
        <f>Inputs!$B$4*A11</f>
        <v>493860000</v>
      </c>
      <c r="D11" s="20">
        <f>Inputs!$B$9*(1-B11)</f>
        <v>0.105</v>
      </c>
      <c r="E11" s="19">
        <f t="shared" si="1"/>
        <v>51855300</v>
      </c>
      <c r="F11" s="20">
        <f>MAX(0,Inputs!$B$10-D11)</f>
        <v>0.035</v>
      </c>
      <c r="G11" s="19">
        <f t="shared" si="2"/>
        <v>17285100</v>
      </c>
      <c r="H11" s="19">
        <f>(MAX(0,IF((Inputs!$B$5+C11)&lt;=14000000,(Inputs!$B$5+C11)*0.06,IF((Inputs!$B$5+C11)&lt;=50000000,(Inputs!$B$5+C11)*0.14-1260000,IF((Inputs!$B$5+C11)&lt;=88000000,(Inputs!$B$5+C11)*0.24-6260000,IF((Inputs!$B$5+C11)&lt;=150000000,(Inputs!$B$5+C11)*0.35-15940000,IF((Inputs!$B$5+C11)&lt;=300000000,(Inputs!$B$5+C11)*0.38-20440000,IF((Inputs!$B$5+C11)&lt;=500000000,(Inputs!$B$5+C11)*0.4-25440000,IF((Inputs!$B$5+C11)&lt;=1000000000,(Inputs!$B$5+C11)*0.42-35440000,(Inputs!$B$5+C11)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+(((MAX(0,IF((Inputs!$B$5+C11)&lt;=14000000,(Inputs!$B$5+C11)*0.06,IF((Inputs!$B$5+C11)&lt;=50000000,(Inputs!$B$5+C11)*0.14-1260000,IF((Inputs!$B$5+C11)&lt;=88000000,(Inputs!$B$5+C11)*0.24-6260000,IF((Inputs!$B$5+C11)&lt;=150000000,(Inputs!$B$5+C11)*0.35-15940000,IF((Inputs!$B$5+C11)&lt;=300000000,(Inputs!$B$5+C11)*0.38-20440000,IF((Inputs!$B$5+C11)&lt;=500000000,(Inputs!$B$5+C11)*0.4-25440000,IF((Inputs!$B$5+C11)&lt;=1000000000,(Inputs!$B$5+C11)*0.42-35440000,(Inputs!$B$5+C11)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)*Inputs!$B$11)+((IF(Inputs!$B$14="Employee",MAX(0,C11-Inputs!$B$13),C11))*Inputs!$B$12)</f>
        <v>232913892.4</v>
      </c>
      <c r="I11" s="21">
        <f t="shared" si="3"/>
        <v>4.49161209</v>
      </c>
      <c r="J11" s="19">
        <f>Inputs!$B$4*(1+Inputs!$B$8)-E11</f>
        <v>771244700</v>
      </c>
      <c r="K11" s="19">
        <f>Inputs!$B$4*(1+Inputs!$B$8)-H11</f>
        <v>590186107.6</v>
      </c>
    </row>
    <row r="12" ht="13.5" customHeight="1">
      <c r="A12" s="18">
        <v>0.6</v>
      </c>
      <c r="B12" s="18">
        <v>0.6</v>
      </c>
      <c r="C12" s="19">
        <f>Inputs!$B$4*A12</f>
        <v>493860000</v>
      </c>
      <c r="D12" s="20">
        <f>Inputs!$B$9*(1-B12)</f>
        <v>0.06</v>
      </c>
      <c r="E12" s="19">
        <f t="shared" si="1"/>
        <v>29631600</v>
      </c>
      <c r="F12" s="20">
        <f>MAX(0,Inputs!$B$10-D12)</f>
        <v>0.08</v>
      </c>
      <c r="G12" s="19">
        <f t="shared" si="2"/>
        <v>39508800</v>
      </c>
      <c r="H12" s="19">
        <f>(MAX(0,IF((Inputs!$B$5+C12)&lt;=14000000,(Inputs!$B$5+C12)*0.06,IF((Inputs!$B$5+C12)&lt;=50000000,(Inputs!$B$5+C12)*0.14-1260000,IF((Inputs!$B$5+C12)&lt;=88000000,(Inputs!$B$5+C12)*0.24-6260000,IF((Inputs!$B$5+C12)&lt;=150000000,(Inputs!$B$5+C12)*0.35-15940000,IF((Inputs!$B$5+C12)&lt;=300000000,(Inputs!$B$5+C12)*0.38-20440000,IF((Inputs!$B$5+C12)&lt;=500000000,(Inputs!$B$5+C12)*0.4-25440000,IF((Inputs!$B$5+C12)&lt;=1000000000,(Inputs!$B$5+C12)*0.42-35440000,(Inputs!$B$5+C12)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+(((MAX(0,IF((Inputs!$B$5+C12)&lt;=14000000,(Inputs!$B$5+C12)*0.06,IF((Inputs!$B$5+C12)&lt;=50000000,(Inputs!$B$5+C12)*0.14-1260000,IF((Inputs!$B$5+C12)&lt;=88000000,(Inputs!$B$5+C12)*0.24-6260000,IF((Inputs!$B$5+C12)&lt;=150000000,(Inputs!$B$5+C12)*0.35-15940000,IF((Inputs!$B$5+C12)&lt;=300000000,(Inputs!$B$5+C12)*0.38-20440000,IF((Inputs!$B$5+C12)&lt;=500000000,(Inputs!$B$5+C12)*0.4-25440000,IF((Inputs!$B$5+C12)&lt;=1000000000,(Inputs!$B$5+C12)*0.42-35440000,(Inputs!$B$5+C12)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)*Inputs!$B$11)+((IF(Inputs!$B$14="Employee",MAX(0,C12-Inputs!$B$13),C12))*Inputs!$B$12)</f>
        <v>232913892.4</v>
      </c>
      <c r="I12" s="21">
        <f t="shared" si="3"/>
        <v>7.860321157</v>
      </c>
      <c r="J12" s="19">
        <f>Inputs!$B$4*(1+Inputs!$B$8)-E12</f>
        <v>793468400</v>
      </c>
      <c r="K12" s="19">
        <f>Inputs!$B$4*(1+Inputs!$B$8)-H12</f>
        <v>590186107.6</v>
      </c>
    </row>
    <row r="13" ht="13.5" customHeight="1">
      <c r="A13" s="18">
        <v>0.6</v>
      </c>
      <c r="B13" s="18">
        <v>0.9</v>
      </c>
      <c r="C13" s="19">
        <f>Inputs!$B$4*A13</f>
        <v>493860000</v>
      </c>
      <c r="D13" s="20">
        <f>Inputs!$B$9*(1-B13)</f>
        <v>0.015</v>
      </c>
      <c r="E13" s="19">
        <f t="shared" si="1"/>
        <v>7407900</v>
      </c>
      <c r="F13" s="20">
        <f>MAX(0,Inputs!$B$10-D13)</f>
        <v>0.125</v>
      </c>
      <c r="G13" s="19">
        <f t="shared" si="2"/>
        <v>61732500</v>
      </c>
      <c r="H13" s="19">
        <f>(MAX(0,IF((Inputs!$B$5+C13)&lt;=14000000,(Inputs!$B$5+C13)*0.06,IF((Inputs!$B$5+C13)&lt;=50000000,(Inputs!$B$5+C13)*0.14-1260000,IF((Inputs!$B$5+C13)&lt;=88000000,(Inputs!$B$5+C13)*0.24-6260000,IF((Inputs!$B$5+C13)&lt;=150000000,(Inputs!$B$5+C13)*0.35-15940000,IF((Inputs!$B$5+C13)&lt;=300000000,(Inputs!$B$5+C13)*0.38-20440000,IF((Inputs!$B$5+C13)&lt;=500000000,(Inputs!$B$5+C13)*0.4-25440000,IF((Inputs!$B$5+C13)&lt;=1000000000,(Inputs!$B$5+C13)*0.42-35440000,(Inputs!$B$5+C13)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+(((MAX(0,IF((Inputs!$B$5+C13)&lt;=14000000,(Inputs!$B$5+C13)*0.06,IF((Inputs!$B$5+C13)&lt;=50000000,(Inputs!$B$5+C13)*0.14-1260000,IF((Inputs!$B$5+C13)&lt;=88000000,(Inputs!$B$5+C13)*0.24-6260000,IF((Inputs!$B$5+C13)&lt;=150000000,(Inputs!$B$5+C13)*0.35-15940000,IF((Inputs!$B$5+C13)&lt;=300000000,(Inputs!$B$5+C13)*0.38-20440000,IF((Inputs!$B$5+C13)&lt;=500000000,(Inputs!$B$5+C13)*0.4-25440000,IF((Inputs!$B$5+C13)&lt;=1000000000,(Inputs!$B$5+C13)*0.42-35440000,(Inputs!$B$5+C13)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)*Inputs!$B$11)+((IF(Inputs!$B$14="Employee",MAX(0,C13-Inputs!$B$13),C13))*Inputs!$B$12)</f>
        <v>232913892.4</v>
      </c>
      <c r="I13" s="21">
        <f t="shared" si="3"/>
        <v>31.44128463</v>
      </c>
      <c r="J13" s="19">
        <f>Inputs!$B$4*(1+Inputs!$B$8)-E13</f>
        <v>815692100</v>
      </c>
      <c r="K13" s="19">
        <f>Inputs!$B$4*(1+Inputs!$B$8)-H13</f>
        <v>590186107.6</v>
      </c>
    </row>
    <row r="14" ht="13.5" customHeight="1">
      <c r="A14" s="18">
        <v>0.6</v>
      </c>
      <c r="B14" s="18">
        <v>0.99</v>
      </c>
      <c r="C14" s="19">
        <f>Inputs!$B$4*A14</f>
        <v>493860000</v>
      </c>
      <c r="D14" s="20">
        <f>Inputs!$B$9*(1-B14)</f>
        <v>0.0015</v>
      </c>
      <c r="E14" s="19">
        <f t="shared" si="1"/>
        <v>740790</v>
      </c>
      <c r="F14" s="20">
        <f>MAX(0,Inputs!$B$10-D14)</f>
        <v>0.1385</v>
      </c>
      <c r="G14" s="19">
        <f t="shared" si="2"/>
        <v>68399610</v>
      </c>
      <c r="H14" s="19">
        <f>(MAX(0,IF((Inputs!$B$5+C14)&lt;=14000000,(Inputs!$B$5+C14)*0.06,IF((Inputs!$B$5+C14)&lt;=50000000,(Inputs!$B$5+C14)*0.14-1260000,IF((Inputs!$B$5+C14)&lt;=88000000,(Inputs!$B$5+C14)*0.24-6260000,IF((Inputs!$B$5+C14)&lt;=150000000,(Inputs!$B$5+C14)*0.35-15940000,IF((Inputs!$B$5+C14)&lt;=300000000,(Inputs!$B$5+C14)*0.38-20440000,IF((Inputs!$B$5+C14)&lt;=500000000,(Inputs!$B$5+C14)*0.4-25440000,IF((Inputs!$B$5+C14)&lt;=1000000000,(Inputs!$B$5+C14)*0.42-35440000,(Inputs!$B$5+C14)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+(((MAX(0,IF((Inputs!$B$5+C14)&lt;=14000000,(Inputs!$B$5+C14)*0.06,IF((Inputs!$B$5+C14)&lt;=50000000,(Inputs!$B$5+C14)*0.14-1260000,IF((Inputs!$B$5+C14)&lt;=88000000,(Inputs!$B$5+C14)*0.24-6260000,IF((Inputs!$B$5+C14)&lt;=150000000,(Inputs!$B$5+C14)*0.35-15940000,IF((Inputs!$B$5+C14)&lt;=300000000,(Inputs!$B$5+C14)*0.38-20440000,IF((Inputs!$B$5+C14)&lt;=500000000,(Inputs!$B$5+C14)*0.4-25440000,IF((Inputs!$B$5+C14)&lt;=1000000000,(Inputs!$B$5+C14)*0.42-35440000,(Inputs!$B$5+C14)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)*Inputs!$B$11)+((IF(Inputs!$B$14="Employee",MAX(0,C14-Inputs!$B$13),C14))*Inputs!$B$12)</f>
        <v>232913892.4</v>
      </c>
      <c r="I14" s="21">
        <f t="shared" si="3"/>
        <v>314.4128463</v>
      </c>
      <c r="J14" s="19">
        <f>Inputs!$B$4*(1+Inputs!$B$8)-E14</f>
        <v>822359210</v>
      </c>
      <c r="K14" s="19">
        <f>Inputs!$B$4*(1+Inputs!$B$8)-H14</f>
        <v>590186107.6</v>
      </c>
    </row>
    <row r="15" ht="13.5" customHeight="1">
      <c r="A15" s="18">
        <v>0.6</v>
      </c>
      <c r="B15" s="18">
        <v>1.0</v>
      </c>
      <c r="C15" s="19">
        <f>Inputs!$B$4*A15</f>
        <v>493860000</v>
      </c>
      <c r="D15" s="20">
        <f>Inputs!$B$9*(1-B15)</f>
        <v>0</v>
      </c>
      <c r="E15" s="19">
        <f t="shared" si="1"/>
        <v>0</v>
      </c>
      <c r="F15" s="20">
        <f>MAX(0,Inputs!$B$10-D15)</f>
        <v>0.14</v>
      </c>
      <c r="G15" s="19">
        <f t="shared" si="2"/>
        <v>69140400</v>
      </c>
      <c r="H15" s="19">
        <f>(MAX(0,IF((Inputs!$B$5+C15)&lt;=14000000,(Inputs!$B$5+C15)*0.06,IF((Inputs!$B$5+C15)&lt;=50000000,(Inputs!$B$5+C15)*0.14-1260000,IF((Inputs!$B$5+C15)&lt;=88000000,(Inputs!$B$5+C15)*0.24-6260000,IF((Inputs!$B$5+C15)&lt;=150000000,(Inputs!$B$5+C15)*0.35-15940000,IF((Inputs!$B$5+C15)&lt;=300000000,(Inputs!$B$5+C15)*0.38-20440000,IF((Inputs!$B$5+C15)&lt;=500000000,(Inputs!$B$5+C15)*0.4-25440000,IF((Inputs!$B$5+C15)&lt;=1000000000,(Inputs!$B$5+C15)*0.42-35440000,(Inputs!$B$5+C15)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+(((MAX(0,IF((Inputs!$B$5+C15)&lt;=14000000,(Inputs!$B$5+C15)*0.06,IF((Inputs!$B$5+C15)&lt;=50000000,(Inputs!$B$5+C15)*0.14-1260000,IF((Inputs!$B$5+C15)&lt;=88000000,(Inputs!$B$5+C15)*0.24-6260000,IF((Inputs!$B$5+C15)&lt;=150000000,(Inputs!$B$5+C15)*0.35-15940000,IF((Inputs!$B$5+C15)&lt;=300000000,(Inputs!$B$5+C15)*0.38-20440000,IF((Inputs!$B$5+C15)&lt;=500000000,(Inputs!$B$5+C15)*0.4-25440000,IF((Inputs!$B$5+C15)&lt;=1000000000,(Inputs!$B$5+C15)*0.42-35440000,(Inputs!$B$5+C15)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)*Inputs!$B$11)+((IF(Inputs!$B$14="Employee",MAX(0,C15-Inputs!$B$13),C15))*Inputs!$B$12)</f>
        <v>232913892.4</v>
      </c>
      <c r="I15" s="21" t="str">
        <f t="shared" si="3"/>
        <v>Undefined</v>
      </c>
      <c r="J15" s="19">
        <f>Inputs!$B$4*(1+Inputs!$B$8)-E15</f>
        <v>823100000</v>
      </c>
      <c r="K15" s="19">
        <f>Inputs!$B$4*(1+Inputs!$B$8)-H15</f>
        <v>590186107.6</v>
      </c>
    </row>
    <row r="16" ht="13.5" customHeight="1">
      <c r="A16" s="18">
        <v>0.7</v>
      </c>
      <c r="B16" s="18">
        <v>0.0</v>
      </c>
      <c r="C16" s="19">
        <f>Inputs!$B$4*A16</f>
        <v>576170000</v>
      </c>
      <c r="D16" s="20">
        <f>Inputs!$B$9*(1-B16)</f>
        <v>0.15</v>
      </c>
      <c r="E16" s="19">
        <f t="shared" si="1"/>
        <v>86425500</v>
      </c>
      <c r="F16" s="20">
        <f>MAX(0,Inputs!$B$10-D16)</f>
        <v>0</v>
      </c>
      <c r="G16" s="19">
        <f t="shared" si="2"/>
        <v>0</v>
      </c>
      <c r="H16" s="19">
        <f>(MAX(0,IF((Inputs!$B$5+C16)&lt;=14000000,(Inputs!$B$5+C16)*0.06,IF((Inputs!$B$5+C16)&lt;=50000000,(Inputs!$B$5+C16)*0.14-1260000,IF((Inputs!$B$5+C16)&lt;=88000000,(Inputs!$B$5+C16)*0.24-6260000,IF((Inputs!$B$5+C16)&lt;=150000000,(Inputs!$B$5+C16)*0.35-15940000,IF((Inputs!$B$5+C16)&lt;=300000000,(Inputs!$B$5+C16)*0.38-20440000,IF((Inputs!$B$5+C16)&lt;=500000000,(Inputs!$B$5+C16)*0.4-25440000,IF((Inputs!$B$5+C16)&lt;=1000000000,(Inputs!$B$5+C16)*0.42-35440000,(Inputs!$B$5+C16)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+(((MAX(0,IF((Inputs!$B$5+C16)&lt;=14000000,(Inputs!$B$5+C16)*0.06,IF((Inputs!$B$5+C16)&lt;=50000000,(Inputs!$B$5+C16)*0.14-1260000,IF((Inputs!$B$5+C16)&lt;=88000000,(Inputs!$B$5+C16)*0.24-6260000,IF((Inputs!$B$5+C16)&lt;=150000000,(Inputs!$B$5+C16)*0.35-15940000,IF((Inputs!$B$5+C16)&lt;=300000000,(Inputs!$B$5+C16)*0.38-20440000,IF((Inputs!$B$5+C16)&lt;=500000000,(Inputs!$B$5+C16)*0.4-25440000,IF((Inputs!$B$5+C16)&lt;=1000000000,(Inputs!$B$5+C16)*0.42-35440000,(Inputs!$B$5+C16)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)*Inputs!$B$11)+((IF(Inputs!$B$14="Employee",MAX(0,C16-Inputs!$B$13),C16))*Inputs!$B$12)</f>
        <v>277636207.8</v>
      </c>
      <c r="I16" s="21">
        <f t="shared" si="3"/>
        <v>3.212433921</v>
      </c>
      <c r="J16" s="19">
        <f>Inputs!$B$4*(1+Inputs!$B$8)-E16</f>
        <v>736674500</v>
      </c>
      <c r="K16" s="19">
        <f>Inputs!$B$4*(1+Inputs!$B$8)-H16</f>
        <v>545463792.2</v>
      </c>
    </row>
    <row r="17" ht="13.5" customHeight="1">
      <c r="A17" s="18">
        <v>0.7</v>
      </c>
      <c r="B17" s="18">
        <v>0.3</v>
      </c>
      <c r="C17" s="19">
        <f>Inputs!$B$4*A17</f>
        <v>576170000</v>
      </c>
      <c r="D17" s="20">
        <f>Inputs!$B$9*(1-B17)</f>
        <v>0.105</v>
      </c>
      <c r="E17" s="19">
        <f t="shared" si="1"/>
        <v>60497850</v>
      </c>
      <c r="F17" s="20">
        <f>MAX(0,Inputs!$B$10-D17)</f>
        <v>0.035</v>
      </c>
      <c r="G17" s="19">
        <f t="shared" si="2"/>
        <v>20165950</v>
      </c>
      <c r="H17" s="19">
        <f>(MAX(0,IF((Inputs!$B$5+C17)&lt;=14000000,(Inputs!$B$5+C17)*0.06,IF((Inputs!$B$5+C17)&lt;=50000000,(Inputs!$B$5+C17)*0.14-1260000,IF((Inputs!$B$5+C17)&lt;=88000000,(Inputs!$B$5+C17)*0.24-6260000,IF((Inputs!$B$5+C17)&lt;=150000000,(Inputs!$B$5+C17)*0.35-15940000,IF((Inputs!$B$5+C17)&lt;=300000000,(Inputs!$B$5+C17)*0.38-20440000,IF((Inputs!$B$5+C17)&lt;=500000000,(Inputs!$B$5+C17)*0.4-25440000,IF((Inputs!$B$5+C17)&lt;=1000000000,(Inputs!$B$5+C17)*0.42-35440000,(Inputs!$B$5+C17)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+(((MAX(0,IF((Inputs!$B$5+C17)&lt;=14000000,(Inputs!$B$5+C17)*0.06,IF((Inputs!$B$5+C17)&lt;=50000000,(Inputs!$B$5+C17)*0.14-1260000,IF((Inputs!$B$5+C17)&lt;=88000000,(Inputs!$B$5+C17)*0.24-6260000,IF((Inputs!$B$5+C17)&lt;=150000000,(Inputs!$B$5+C17)*0.35-15940000,IF((Inputs!$B$5+C17)&lt;=300000000,(Inputs!$B$5+C17)*0.38-20440000,IF((Inputs!$B$5+C17)&lt;=500000000,(Inputs!$B$5+C17)*0.4-25440000,IF((Inputs!$B$5+C17)&lt;=1000000000,(Inputs!$B$5+C17)*0.42-35440000,(Inputs!$B$5+C17)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)*Inputs!$B$11)+((IF(Inputs!$B$14="Employee",MAX(0,C17-Inputs!$B$13),C17))*Inputs!$B$12)</f>
        <v>277636207.8</v>
      </c>
      <c r="I17" s="21">
        <f t="shared" si="3"/>
        <v>4.589191315</v>
      </c>
      <c r="J17" s="19">
        <f>Inputs!$B$4*(1+Inputs!$B$8)-E17</f>
        <v>762602150</v>
      </c>
      <c r="K17" s="19">
        <f>Inputs!$B$4*(1+Inputs!$B$8)-H17</f>
        <v>545463792.2</v>
      </c>
    </row>
    <row r="18" ht="13.5" customHeight="1">
      <c r="A18" s="18">
        <v>0.7</v>
      </c>
      <c r="B18" s="18">
        <v>0.6</v>
      </c>
      <c r="C18" s="19">
        <f>Inputs!$B$4*A18</f>
        <v>576170000</v>
      </c>
      <c r="D18" s="20">
        <f>Inputs!$B$9*(1-B18)</f>
        <v>0.06</v>
      </c>
      <c r="E18" s="19">
        <f t="shared" si="1"/>
        <v>34570200</v>
      </c>
      <c r="F18" s="20">
        <f>MAX(0,Inputs!$B$10-D18)</f>
        <v>0.08</v>
      </c>
      <c r="G18" s="19">
        <f t="shared" si="2"/>
        <v>46093600</v>
      </c>
      <c r="H18" s="19">
        <f>(MAX(0,IF((Inputs!$B$5+C18)&lt;=14000000,(Inputs!$B$5+C18)*0.06,IF((Inputs!$B$5+C18)&lt;=50000000,(Inputs!$B$5+C18)*0.14-1260000,IF((Inputs!$B$5+C18)&lt;=88000000,(Inputs!$B$5+C18)*0.24-6260000,IF((Inputs!$B$5+C18)&lt;=150000000,(Inputs!$B$5+C18)*0.35-15940000,IF((Inputs!$B$5+C18)&lt;=300000000,(Inputs!$B$5+C18)*0.38-20440000,IF((Inputs!$B$5+C18)&lt;=500000000,(Inputs!$B$5+C18)*0.4-25440000,IF((Inputs!$B$5+C18)&lt;=1000000000,(Inputs!$B$5+C18)*0.42-35440000,(Inputs!$B$5+C18)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+(((MAX(0,IF((Inputs!$B$5+C18)&lt;=14000000,(Inputs!$B$5+C18)*0.06,IF((Inputs!$B$5+C18)&lt;=50000000,(Inputs!$B$5+C18)*0.14-1260000,IF((Inputs!$B$5+C18)&lt;=88000000,(Inputs!$B$5+C18)*0.24-6260000,IF((Inputs!$B$5+C18)&lt;=150000000,(Inputs!$B$5+C18)*0.35-15940000,IF((Inputs!$B$5+C18)&lt;=300000000,(Inputs!$B$5+C18)*0.38-20440000,IF((Inputs!$B$5+C18)&lt;=500000000,(Inputs!$B$5+C18)*0.4-25440000,IF((Inputs!$B$5+C18)&lt;=1000000000,(Inputs!$B$5+C18)*0.42-35440000,(Inputs!$B$5+C18)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)*Inputs!$B$11)+((IF(Inputs!$B$14="Employee",MAX(0,C18-Inputs!$B$13),C18))*Inputs!$B$12)</f>
        <v>277636207.8</v>
      </c>
      <c r="I18" s="21">
        <f t="shared" si="3"/>
        <v>8.031084801</v>
      </c>
      <c r="J18" s="19">
        <f>Inputs!$B$4*(1+Inputs!$B$8)-E18</f>
        <v>788529800</v>
      </c>
      <c r="K18" s="19">
        <f>Inputs!$B$4*(1+Inputs!$B$8)-H18</f>
        <v>545463792.2</v>
      </c>
    </row>
    <row r="19" ht="13.5" customHeight="1">
      <c r="A19" s="18">
        <v>0.7</v>
      </c>
      <c r="B19" s="18">
        <v>0.9</v>
      </c>
      <c r="C19" s="19">
        <f>Inputs!$B$4*A19</f>
        <v>576170000</v>
      </c>
      <c r="D19" s="20">
        <f>Inputs!$B$9*(1-B19)</f>
        <v>0.015</v>
      </c>
      <c r="E19" s="19">
        <f t="shared" si="1"/>
        <v>8642550</v>
      </c>
      <c r="F19" s="20">
        <f>MAX(0,Inputs!$B$10-D19)</f>
        <v>0.125</v>
      </c>
      <c r="G19" s="19">
        <f t="shared" si="2"/>
        <v>72021250</v>
      </c>
      <c r="H19" s="19">
        <f>(MAX(0,IF((Inputs!$B$5+C19)&lt;=14000000,(Inputs!$B$5+C19)*0.06,IF((Inputs!$B$5+C19)&lt;=50000000,(Inputs!$B$5+C19)*0.14-1260000,IF((Inputs!$B$5+C19)&lt;=88000000,(Inputs!$B$5+C19)*0.24-6260000,IF((Inputs!$B$5+C19)&lt;=150000000,(Inputs!$B$5+C19)*0.35-15940000,IF((Inputs!$B$5+C19)&lt;=300000000,(Inputs!$B$5+C19)*0.38-20440000,IF((Inputs!$B$5+C19)&lt;=500000000,(Inputs!$B$5+C19)*0.4-25440000,IF((Inputs!$B$5+C19)&lt;=1000000000,(Inputs!$B$5+C19)*0.42-35440000,(Inputs!$B$5+C19)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+(((MAX(0,IF((Inputs!$B$5+C19)&lt;=14000000,(Inputs!$B$5+C19)*0.06,IF((Inputs!$B$5+C19)&lt;=50000000,(Inputs!$B$5+C19)*0.14-1260000,IF((Inputs!$B$5+C19)&lt;=88000000,(Inputs!$B$5+C19)*0.24-6260000,IF((Inputs!$B$5+C19)&lt;=150000000,(Inputs!$B$5+C19)*0.35-15940000,IF((Inputs!$B$5+C19)&lt;=300000000,(Inputs!$B$5+C19)*0.38-20440000,IF((Inputs!$B$5+C19)&lt;=500000000,(Inputs!$B$5+C19)*0.4-25440000,IF((Inputs!$B$5+C19)&lt;=1000000000,(Inputs!$B$5+C19)*0.42-35440000,(Inputs!$B$5+C19)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)*Inputs!$B$11)+((IF(Inputs!$B$14="Employee",MAX(0,C19-Inputs!$B$13),C19))*Inputs!$B$12)</f>
        <v>277636207.8</v>
      </c>
      <c r="I19" s="21">
        <f t="shared" si="3"/>
        <v>32.12433921</v>
      </c>
      <c r="J19" s="19">
        <f>Inputs!$B$4*(1+Inputs!$B$8)-E19</f>
        <v>814457450</v>
      </c>
      <c r="K19" s="19">
        <f>Inputs!$B$4*(1+Inputs!$B$8)-H19</f>
        <v>545463792.2</v>
      </c>
    </row>
    <row r="20" ht="13.5" customHeight="1">
      <c r="A20" s="18">
        <v>0.7</v>
      </c>
      <c r="B20" s="18">
        <v>0.99</v>
      </c>
      <c r="C20" s="19">
        <f>Inputs!$B$4*A20</f>
        <v>576170000</v>
      </c>
      <c r="D20" s="20">
        <f>Inputs!$B$9*(1-B20)</f>
        <v>0.0015</v>
      </c>
      <c r="E20" s="19">
        <f t="shared" si="1"/>
        <v>864255</v>
      </c>
      <c r="F20" s="20">
        <f>MAX(0,Inputs!$B$10-D20)</f>
        <v>0.1385</v>
      </c>
      <c r="G20" s="19">
        <f t="shared" si="2"/>
        <v>79799545</v>
      </c>
      <c r="H20" s="19">
        <f>(MAX(0,IF((Inputs!$B$5+C20)&lt;=14000000,(Inputs!$B$5+C20)*0.06,IF((Inputs!$B$5+C20)&lt;=50000000,(Inputs!$B$5+C20)*0.14-1260000,IF((Inputs!$B$5+C20)&lt;=88000000,(Inputs!$B$5+C20)*0.24-6260000,IF((Inputs!$B$5+C20)&lt;=150000000,(Inputs!$B$5+C20)*0.35-15940000,IF((Inputs!$B$5+C20)&lt;=300000000,(Inputs!$B$5+C20)*0.38-20440000,IF((Inputs!$B$5+C20)&lt;=500000000,(Inputs!$B$5+C20)*0.4-25440000,IF((Inputs!$B$5+C20)&lt;=1000000000,(Inputs!$B$5+C20)*0.42-35440000,(Inputs!$B$5+C20)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+(((MAX(0,IF((Inputs!$B$5+C20)&lt;=14000000,(Inputs!$B$5+C20)*0.06,IF((Inputs!$B$5+C20)&lt;=50000000,(Inputs!$B$5+C20)*0.14-1260000,IF((Inputs!$B$5+C20)&lt;=88000000,(Inputs!$B$5+C20)*0.24-6260000,IF((Inputs!$B$5+C20)&lt;=150000000,(Inputs!$B$5+C20)*0.35-15940000,IF((Inputs!$B$5+C20)&lt;=300000000,(Inputs!$B$5+C20)*0.38-20440000,IF((Inputs!$B$5+C20)&lt;=500000000,(Inputs!$B$5+C20)*0.4-25440000,IF((Inputs!$B$5+C20)&lt;=1000000000,(Inputs!$B$5+C20)*0.42-35440000,(Inputs!$B$5+C20)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)*Inputs!$B$11)+((IF(Inputs!$B$14="Employee",MAX(0,C20-Inputs!$B$13),C20))*Inputs!$B$12)</f>
        <v>277636207.8</v>
      </c>
      <c r="I20" s="21">
        <f t="shared" si="3"/>
        <v>321.2433921</v>
      </c>
      <c r="J20" s="19">
        <f>Inputs!$B$4*(1+Inputs!$B$8)-E20</f>
        <v>822235745</v>
      </c>
      <c r="K20" s="19">
        <f>Inputs!$B$4*(1+Inputs!$B$8)-H20</f>
        <v>545463792.2</v>
      </c>
    </row>
    <row r="21" ht="13.5" customHeight="1">
      <c r="A21" s="18">
        <v>0.7</v>
      </c>
      <c r="B21" s="18">
        <v>1.0</v>
      </c>
      <c r="C21" s="19">
        <f>Inputs!$B$4*A21</f>
        <v>576170000</v>
      </c>
      <c r="D21" s="20">
        <f>Inputs!$B$9*(1-B21)</f>
        <v>0</v>
      </c>
      <c r="E21" s="19">
        <f t="shared" si="1"/>
        <v>0</v>
      </c>
      <c r="F21" s="20">
        <f>MAX(0,Inputs!$B$10-D21)</f>
        <v>0.14</v>
      </c>
      <c r="G21" s="19">
        <f t="shared" si="2"/>
        <v>80663800</v>
      </c>
      <c r="H21" s="19">
        <f>(MAX(0,IF((Inputs!$B$5+C21)&lt;=14000000,(Inputs!$B$5+C21)*0.06,IF((Inputs!$B$5+C21)&lt;=50000000,(Inputs!$B$5+C21)*0.14-1260000,IF((Inputs!$B$5+C21)&lt;=88000000,(Inputs!$B$5+C21)*0.24-6260000,IF((Inputs!$B$5+C21)&lt;=150000000,(Inputs!$B$5+C21)*0.35-15940000,IF((Inputs!$B$5+C21)&lt;=300000000,(Inputs!$B$5+C21)*0.38-20440000,IF((Inputs!$B$5+C21)&lt;=500000000,(Inputs!$B$5+C21)*0.4-25440000,IF((Inputs!$B$5+C21)&lt;=1000000000,(Inputs!$B$5+C21)*0.42-35440000,(Inputs!$B$5+C21)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+(((MAX(0,IF((Inputs!$B$5+C21)&lt;=14000000,(Inputs!$B$5+C21)*0.06,IF((Inputs!$B$5+C21)&lt;=50000000,(Inputs!$B$5+C21)*0.14-1260000,IF((Inputs!$B$5+C21)&lt;=88000000,(Inputs!$B$5+C21)*0.24-6260000,IF((Inputs!$B$5+C21)&lt;=150000000,(Inputs!$B$5+C21)*0.35-15940000,IF((Inputs!$B$5+C21)&lt;=300000000,(Inputs!$B$5+C21)*0.38-20440000,IF((Inputs!$B$5+C21)&lt;=500000000,(Inputs!$B$5+C21)*0.4-25440000,IF((Inputs!$B$5+C21)&lt;=1000000000,(Inputs!$B$5+C21)*0.42-35440000,(Inputs!$B$5+C21)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)*Inputs!$B$11)+((IF(Inputs!$B$14="Employee",MAX(0,C21-Inputs!$B$13),C21))*Inputs!$B$12)</f>
        <v>277636207.8</v>
      </c>
      <c r="I21" s="21" t="str">
        <f t="shared" si="3"/>
        <v>Undefined</v>
      </c>
      <c r="J21" s="19">
        <f>Inputs!$B$4*(1+Inputs!$B$8)-E21</f>
        <v>823100000</v>
      </c>
      <c r="K21" s="19">
        <f>Inputs!$B$4*(1+Inputs!$B$8)-H21</f>
        <v>545463792.2</v>
      </c>
    </row>
    <row r="22" ht="13.5" customHeight="1">
      <c r="A22" s="18">
        <v>0.8</v>
      </c>
      <c r="B22" s="18">
        <v>0.0</v>
      </c>
      <c r="C22" s="19">
        <f>Inputs!$B$4*A22</f>
        <v>658480000</v>
      </c>
      <c r="D22" s="20">
        <f>Inputs!$B$9*(1-B22)</f>
        <v>0.15</v>
      </c>
      <c r="E22" s="19">
        <f t="shared" si="1"/>
        <v>98772000</v>
      </c>
      <c r="F22" s="20">
        <f>MAX(0,Inputs!$B$10-D22)</f>
        <v>0</v>
      </c>
      <c r="G22" s="19">
        <f t="shared" si="2"/>
        <v>0</v>
      </c>
      <c r="H22" s="19">
        <f>(MAX(0,IF((Inputs!$B$5+C22)&lt;=14000000,(Inputs!$B$5+C22)*0.06,IF((Inputs!$B$5+C22)&lt;=50000000,(Inputs!$B$5+C22)*0.14-1260000,IF((Inputs!$B$5+C22)&lt;=88000000,(Inputs!$B$5+C22)*0.24-6260000,IF((Inputs!$B$5+C22)&lt;=150000000,(Inputs!$B$5+C22)*0.35-15940000,IF((Inputs!$B$5+C22)&lt;=300000000,(Inputs!$B$5+C22)*0.38-20440000,IF((Inputs!$B$5+C22)&lt;=500000000,(Inputs!$B$5+C22)*0.4-25440000,IF((Inputs!$B$5+C22)&lt;=1000000000,(Inputs!$B$5+C22)*0.42-35440000,(Inputs!$B$5+C22)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+(((MAX(0,IF((Inputs!$B$5+C22)&lt;=14000000,(Inputs!$B$5+C22)*0.06,IF((Inputs!$B$5+C22)&lt;=50000000,(Inputs!$B$5+C22)*0.14-1260000,IF((Inputs!$B$5+C22)&lt;=88000000,(Inputs!$B$5+C22)*0.24-6260000,IF((Inputs!$B$5+C22)&lt;=150000000,(Inputs!$B$5+C22)*0.35-15940000,IF((Inputs!$B$5+C22)&lt;=300000000,(Inputs!$B$5+C22)*0.38-20440000,IF((Inputs!$B$5+C22)&lt;=500000000,(Inputs!$B$5+C22)*0.4-25440000,IF((Inputs!$B$5+C22)&lt;=1000000000,(Inputs!$B$5+C22)*0.42-35440000,(Inputs!$B$5+C22)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)*Inputs!$B$11)+((IF(Inputs!$B$14="Employee",MAX(0,C22-Inputs!$B$13),C22))*Inputs!$B$12)</f>
        <v>322358523.2</v>
      </c>
      <c r="I22" s="21">
        <f t="shared" si="3"/>
        <v>3.263663014</v>
      </c>
      <c r="J22" s="19">
        <f>Inputs!$B$4*(1+Inputs!$B$8)-E22</f>
        <v>724328000</v>
      </c>
      <c r="K22" s="19">
        <f>Inputs!$B$4*(1+Inputs!$B$8)-H22</f>
        <v>500741476.8</v>
      </c>
    </row>
    <row r="23" ht="13.5" customHeight="1">
      <c r="A23" s="18">
        <v>0.8</v>
      </c>
      <c r="B23" s="18">
        <v>0.3</v>
      </c>
      <c r="C23" s="19">
        <f>Inputs!$B$4*A23</f>
        <v>658480000</v>
      </c>
      <c r="D23" s="20">
        <f>Inputs!$B$9*(1-B23)</f>
        <v>0.105</v>
      </c>
      <c r="E23" s="19">
        <f t="shared" si="1"/>
        <v>69140400</v>
      </c>
      <c r="F23" s="20">
        <f>MAX(0,Inputs!$B$10-D23)</f>
        <v>0.035</v>
      </c>
      <c r="G23" s="19">
        <f t="shared" si="2"/>
        <v>23046800</v>
      </c>
      <c r="H23" s="19">
        <f>(MAX(0,IF((Inputs!$B$5+C23)&lt;=14000000,(Inputs!$B$5+C23)*0.06,IF((Inputs!$B$5+C23)&lt;=50000000,(Inputs!$B$5+C23)*0.14-1260000,IF((Inputs!$B$5+C23)&lt;=88000000,(Inputs!$B$5+C23)*0.24-6260000,IF((Inputs!$B$5+C23)&lt;=150000000,(Inputs!$B$5+C23)*0.35-15940000,IF((Inputs!$B$5+C23)&lt;=300000000,(Inputs!$B$5+C23)*0.38-20440000,IF((Inputs!$B$5+C23)&lt;=500000000,(Inputs!$B$5+C23)*0.4-25440000,IF((Inputs!$B$5+C23)&lt;=1000000000,(Inputs!$B$5+C23)*0.42-35440000,(Inputs!$B$5+C23)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+(((MAX(0,IF((Inputs!$B$5+C23)&lt;=14000000,(Inputs!$B$5+C23)*0.06,IF((Inputs!$B$5+C23)&lt;=50000000,(Inputs!$B$5+C23)*0.14-1260000,IF((Inputs!$B$5+C23)&lt;=88000000,(Inputs!$B$5+C23)*0.24-6260000,IF((Inputs!$B$5+C23)&lt;=150000000,(Inputs!$B$5+C23)*0.35-15940000,IF((Inputs!$B$5+C23)&lt;=300000000,(Inputs!$B$5+C23)*0.38-20440000,IF((Inputs!$B$5+C23)&lt;=500000000,(Inputs!$B$5+C23)*0.4-25440000,IF((Inputs!$B$5+C23)&lt;=1000000000,(Inputs!$B$5+C23)*0.42-35440000,(Inputs!$B$5+C23)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)*Inputs!$B$11)+((IF(Inputs!$B$14="Employee",MAX(0,C23-Inputs!$B$13),C23))*Inputs!$B$12)</f>
        <v>322358523.2</v>
      </c>
      <c r="I23" s="21">
        <f t="shared" si="3"/>
        <v>4.662375734</v>
      </c>
      <c r="J23" s="19">
        <f>Inputs!$B$4*(1+Inputs!$B$8)-E23</f>
        <v>753959600</v>
      </c>
      <c r="K23" s="19">
        <f>Inputs!$B$4*(1+Inputs!$B$8)-H23</f>
        <v>500741476.8</v>
      </c>
    </row>
    <row r="24" ht="13.5" customHeight="1">
      <c r="A24" s="18">
        <v>0.8</v>
      </c>
      <c r="B24" s="18">
        <v>0.6</v>
      </c>
      <c r="C24" s="19">
        <f>Inputs!$B$4*A24</f>
        <v>658480000</v>
      </c>
      <c r="D24" s="20">
        <f>Inputs!$B$9*(1-B24)</f>
        <v>0.06</v>
      </c>
      <c r="E24" s="19">
        <f t="shared" si="1"/>
        <v>39508800</v>
      </c>
      <c r="F24" s="20">
        <f>MAX(0,Inputs!$B$10-D24)</f>
        <v>0.08</v>
      </c>
      <c r="G24" s="19">
        <f t="shared" si="2"/>
        <v>52678400</v>
      </c>
      <c r="H24" s="19">
        <f>(MAX(0,IF((Inputs!$B$5+C24)&lt;=14000000,(Inputs!$B$5+C24)*0.06,IF((Inputs!$B$5+C24)&lt;=50000000,(Inputs!$B$5+C24)*0.14-1260000,IF((Inputs!$B$5+C24)&lt;=88000000,(Inputs!$B$5+C24)*0.24-6260000,IF((Inputs!$B$5+C24)&lt;=150000000,(Inputs!$B$5+C24)*0.35-15940000,IF((Inputs!$B$5+C24)&lt;=300000000,(Inputs!$B$5+C24)*0.38-20440000,IF((Inputs!$B$5+C24)&lt;=500000000,(Inputs!$B$5+C24)*0.4-25440000,IF((Inputs!$B$5+C24)&lt;=1000000000,(Inputs!$B$5+C24)*0.42-35440000,(Inputs!$B$5+C24)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+(((MAX(0,IF((Inputs!$B$5+C24)&lt;=14000000,(Inputs!$B$5+C24)*0.06,IF((Inputs!$B$5+C24)&lt;=50000000,(Inputs!$B$5+C24)*0.14-1260000,IF((Inputs!$B$5+C24)&lt;=88000000,(Inputs!$B$5+C24)*0.24-6260000,IF((Inputs!$B$5+C24)&lt;=150000000,(Inputs!$B$5+C24)*0.35-15940000,IF((Inputs!$B$5+C24)&lt;=300000000,(Inputs!$B$5+C24)*0.38-20440000,IF((Inputs!$B$5+C24)&lt;=500000000,(Inputs!$B$5+C24)*0.4-25440000,IF((Inputs!$B$5+C24)&lt;=1000000000,(Inputs!$B$5+C24)*0.42-35440000,(Inputs!$B$5+C24)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)*Inputs!$B$11)+((IF(Inputs!$B$14="Employee",MAX(0,C24-Inputs!$B$13),C24))*Inputs!$B$12)</f>
        <v>322358523.2</v>
      </c>
      <c r="I24" s="21">
        <f t="shared" si="3"/>
        <v>8.159157535</v>
      </c>
      <c r="J24" s="19">
        <f>Inputs!$B$4*(1+Inputs!$B$8)-E24</f>
        <v>783591200</v>
      </c>
      <c r="K24" s="19">
        <f>Inputs!$B$4*(1+Inputs!$B$8)-H24</f>
        <v>500741476.8</v>
      </c>
    </row>
    <row r="25" ht="13.5" customHeight="1">
      <c r="A25" s="18">
        <v>0.8</v>
      </c>
      <c r="B25" s="18">
        <v>0.9</v>
      </c>
      <c r="C25" s="19">
        <f>Inputs!$B$4*A25</f>
        <v>658480000</v>
      </c>
      <c r="D25" s="20">
        <f>Inputs!$B$9*(1-B25)</f>
        <v>0.015</v>
      </c>
      <c r="E25" s="19">
        <f t="shared" si="1"/>
        <v>9877200</v>
      </c>
      <c r="F25" s="20">
        <f>MAX(0,Inputs!$B$10-D25)</f>
        <v>0.125</v>
      </c>
      <c r="G25" s="19">
        <f t="shared" si="2"/>
        <v>82310000</v>
      </c>
      <c r="H25" s="19">
        <f>(MAX(0,IF((Inputs!$B$5+C25)&lt;=14000000,(Inputs!$B$5+C25)*0.06,IF((Inputs!$B$5+C25)&lt;=50000000,(Inputs!$B$5+C25)*0.14-1260000,IF((Inputs!$B$5+C25)&lt;=88000000,(Inputs!$B$5+C25)*0.24-6260000,IF((Inputs!$B$5+C25)&lt;=150000000,(Inputs!$B$5+C25)*0.35-15940000,IF((Inputs!$B$5+C25)&lt;=300000000,(Inputs!$B$5+C25)*0.38-20440000,IF((Inputs!$B$5+C25)&lt;=500000000,(Inputs!$B$5+C25)*0.4-25440000,IF((Inputs!$B$5+C25)&lt;=1000000000,(Inputs!$B$5+C25)*0.42-35440000,(Inputs!$B$5+C25)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+(((MAX(0,IF((Inputs!$B$5+C25)&lt;=14000000,(Inputs!$B$5+C25)*0.06,IF((Inputs!$B$5+C25)&lt;=50000000,(Inputs!$B$5+C25)*0.14-1260000,IF((Inputs!$B$5+C25)&lt;=88000000,(Inputs!$B$5+C25)*0.24-6260000,IF((Inputs!$B$5+C25)&lt;=150000000,(Inputs!$B$5+C25)*0.35-15940000,IF((Inputs!$B$5+C25)&lt;=300000000,(Inputs!$B$5+C25)*0.38-20440000,IF((Inputs!$B$5+C25)&lt;=500000000,(Inputs!$B$5+C25)*0.4-25440000,IF((Inputs!$B$5+C25)&lt;=1000000000,(Inputs!$B$5+C25)*0.42-35440000,(Inputs!$B$5+C25)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)*Inputs!$B$11)+((IF(Inputs!$B$14="Employee",MAX(0,C25-Inputs!$B$13),C25))*Inputs!$B$12)</f>
        <v>322358523.2</v>
      </c>
      <c r="I25" s="21">
        <f t="shared" si="3"/>
        <v>32.63663014</v>
      </c>
      <c r="J25" s="19">
        <f>Inputs!$B$4*(1+Inputs!$B$8)-E25</f>
        <v>813222800</v>
      </c>
      <c r="K25" s="19">
        <f>Inputs!$B$4*(1+Inputs!$B$8)-H25</f>
        <v>500741476.8</v>
      </c>
    </row>
    <row r="26" ht="13.5" customHeight="1">
      <c r="A26" s="18">
        <v>0.8</v>
      </c>
      <c r="B26" s="18">
        <v>0.99</v>
      </c>
      <c r="C26" s="19">
        <f>Inputs!$B$4*A26</f>
        <v>658480000</v>
      </c>
      <c r="D26" s="20">
        <f>Inputs!$B$9*(1-B26)</f>
        <v>0.0015</v>
      </c>
      <c r="E26" s="19">
        <f t="shared" si="1"/>
        <v>987720</v>
      </c>
      <c r="F26" s="20">
        <f>MAX(0,Inputs!$B$10-D26)</f>
        <v>0.1385</v>
      </c>
      <c r="G26" s="19">
        <f t="shared" si="2"/>
        <v>91199480</v>
      </c>
      <c r="H26" s="19">
        <f>(MAX(0,IF((Inputs!$B$5+C26)&lt;=14000000,(Inputs!$B$5+C26)*0.06,IF((Inputs!$B$5+C26)&lt;=50000000,(Inputs!$B$5+C26)*0.14-1260000,IF((Inputs!$B$5+C26)&lt;=88000000,(Inputs!$B$5+C26)*0.24-6260000,IF((Inputs!$B$5+C26)&lt;=150000000,(Inputs!$B$5+C26)*0.35-15940000,IF((Inputs!$B$5+C26)&lt;=300000000,(Inputs!$B$5+C26)*0.38-20440000,IF((Inputs!$B$5+C26)&lt;=500000000,(Inputs!$B$5+C26)*0.4-25440000,IF((Inputs!$B$5+C26)&lt;=1000000000,(Inputs!$B$5+C26)*0.42-35440000,(Inputs!$B$5+C26)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+(((MAX(0,IF((Inputs!$B$5+C26)&lt;=14000000,(Inputs!$B$5+C26)*0.06,IF((Inputs!$B$5+C26)&lt;=50000000,(Inputs!$B$5+C26)*0.14-1260000,IF((Inputs!$B$5+C26)&lt;=88000000,(Inputs!$B$5+C26)*0.24-6260000,IF((Inputs!$B$5+C26)&lt;=150000000,(Inputs!$B$5+C26)*0.35-15940000,IF((Inputs!$B$5+C26)&lt;=300000000,(Inputs!$B$5+C26)*0.38-20440000,IF((Inputs!$B$5+C26)&lt;=500000000,(Inputs!$B$5+C26)*0.4-25440000,IF((Inputs!$B$5+C26)&lt;=1000000000,(Inputs!$B$5+C26)*0.42-35440000,(Inputs!$B$5+C26)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)*Inputs!$B$11)+((IF(Inputs!$B$14="Employee",MAX(0,C26-Inputs!$B$13),C26))*Inputs!$B$12)</f>
        <v>322358523.2</v>
      </c>
      <c r="I26" s="21">
        <f t="shared" si="3"/>
        <v>326.3663014</v>
      </c>
      <c r="J26" s="19">
        <f>Inputs!$B$4*(1+Inputs!$B$8)-E26</f>
        <v>822112280</v>
      </c>
      <c r="K26" s="19">
        <f>Inputs!$B$4*(1+Inputs!$B$8)-H26</f>
        <v>500741476.8</v>
      </c>
    </row>
    <row r="27" ht="13.5" customHeight="1">
      <c r="A27" s="18">
        <v>0.8</v>
      </c>
      <c r="B27" s="18">
        <v>1.0</v>
      </c>
      <c r="C27" s="19">
        <f>Inputs!$B$4*A27</f>
        <v>658480000</v>
      </c>
      <c r="D27" s="20">
        <f>Inputs!$B$9*(1-B27)</f>
        <v>0</v>
      </c>
      <c r="E27" s="19">
        <f t="shared" si="1"/>
        <v>0</v>
      </c>
      <c r="F27" s="20">
        <f>MAX(0,Inputs!$B$10-D27)</f>
        <v>0.14</v>
      </c>
      <c r="G27" s="19">
        <f t="shared" si="2"/>
        <v>92187200</v>
      </c>
      <c r="H27" s="19">
        <f>(MAX(0,IF((Inputs!$B$5+C27)&lt;=14000000,(Inputs!$B$5+C27)*0.06,IF((Inputs!$B$5+C27)&lt;=50000000,(Inputs!$B$5+C27)*0.14-1260000,IF((Inputs!$B$5+C27)&lt;=88000000,(Inputs!$B$5+C27)*0.24-6260000,IF((Inputs!$B$5+C27)&lt;=150000000,(Inputs!$B$5+C27)*0.35-15940000,IF((Inputs!$B$5+C27)&lt;=300000000,(Inputs!$B$5+C27)*0.38-20440000,IF((Inputs!$B$5+C27)&lt;=500000000,(Inputs!$B$5+C27)*0.4-25440000,IF((Inputs!$B$5+C27)&lt;=1000000000,(Inputs!$B$5+C27)*0.42-35440000,(Inputs!$B$5+C27)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+(((MAX(0,IF((Inputs!$B$5+C27)&lt;=14000000,(Inputs!$B$5+C27)*0.06,IF((Inputs!$B$5+C27)&lt;=50000000,(Inputs!$B$5+C27)*0.14-1260000,IF((Inputs!$B$5+C27)&lt;=88000000,(Inputs!$B$5+C27)*0.24-6260000,IF((Inputs!$B$5+C27)&lt;=150000000,(Inputs!$B$5+C27)*0.35-15940000,IF((Inputs!$B$5+C27)&lt;=300000000,(Inputs!$B$5+C27)*0.38-20440000,IF((Inputs!$B$5+C27)&lt;=500000000,(Inputs!$B$5+C27)*0.4-25440000,IF((Inputs!$B$5+C27)&lt;=1000000000,(Inputs!$B$5+C27)*0.42-35440000,(Inputs!$B$5+C27)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)*Inputs!$B$11)+((IF(Inputs!$B$14="Employee",MAX(0,C27-Inputs!$B$13),C27))*Inputs!$B$12)</f>
        <v>322358523.2</v>
      </c>
      <c r="I27" s="21" t="str">
        <f t="shared" si="3"/>
        <v>Undefined</v>
      </c>
      <c r="J27" s="19">
        <f>Inputs!$B$4*(1+Inputs!$B$8)-E27</f>
        <v>823100000</v>
      </c>
      <c r="K27" s="19">
        <f>Inputs!$B$4*(1+Inputs!$B$8)-H27</f>
        <v>500741476.8</v>
      </c>
    </row>
    <row r="28" ht="13.5" customHeight="1">
      <c r="A28" s="18">
        <v>0.9</v>
      </c>
      <c r="B28" s="18">
        <v>0.0</v>
      </c>
      <c r="C28" s="19">
        <f>Inputs!$B$4*A28</f>
        <v>740790000</v>
      </c>
      <c r="D28" s="20">
        <f>Inputs!$B$9*(1-B28)</f>
        <v>0.15</v>
      </c>
      <c r="E28" s="19">
        <f t="shared" si="1"/>
        <v>111118500</v>
      </c>
      <c r="F28" s="20">
        <f>MAX(0,Inputs!$B$10-D28)</f>
        <v>0</v>
      </c>
      <c r="G28" s="19">
        <f t="shared" si="2"/>
        <v>0</v>
      </c>
      <c r="H28" s="19">
        <f>(MAX(0,IF((Inputs!$B$5+C28)&lt;=14000000,(Inputs!$B$5+C28)*0.06,IF((Inputs!$B$5+C28)&lt;=50000000,(Inputs!$B$5+C28)*0.14-1260000,IF((Inputs!$B$5+C28)&lt;=88000000,(Inputs!$B$5+C28)*0.24-6260000,IF((Inputs!$B$5+C28)&lt;=150000000,(Inputs!$B$5+C28)*0.35-15940000,IF((Inputs!$B$5+C28)&lt;=300000000,(Inputs!$B$5+C28)*0.38-20440000,IF((Inputs!$B$5+C28)&lt;=500000000,(Inputs!$B$5+C28)*0.4-25440000,IF((Inputs!$B$5+C28)&lt;=1000000000,(Inputs!$B$5+C28)*0.42-35440000,(Inputs!$B$5+C28)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+(((MAX(0,IF((Inputs!$B$5+C28)&lt;=14000000,(Inputs!$B$5+C28)*0.06,IF((Inputs!$B$5+C28)&lt;=50000000,(Inputs!$B$5+C28)*0.14-1260000,IF((Inputs!$B$5+C28)&lt;=88000000,(Inputs!$B$5+C28)*0.24-6260000,IF((Inputs!$B$5+C28)&lt;=150000000,(Inputs!$B$5+C28)*0.35-15940000,IF((Inputs!$B$5+C28)&lt;=300000000,(Inputs!$B$5+C28)*0.38-20440000,IF((Inputs!$B$5+C28)&lt;=500000000,(Inputs!$B$5+C28)*0.4-25440000,IF((Inputs!$B$5+C28)&lt;=1000000000,(Inputs!$B$5+C28)*0.42-35440000,(Inputs!$B$5+C28)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)*Inputs!$B$11)+((IF(Inputs!$B$14="Employee",MAX(0,C28-Inputs!$B$13),C28))*Inputs!$B$12)</f>
        <v>367080838.6</v>
      </c>
      <c r="I28" s="21">
        <f t="shared" si="3"/>
        <v>3.303507864</v>
      </c>
      <c r="J28" s="19">
        <f>Inputs!$B$4*(1+Inputs!$B$8)-E28</f>
        <v>711981500</v>
      </c>
      <c r="K28" s="19">
        <f>Inputs!$B$4*(1+Inputs!$B$8)-H28</f>
        <v>456019161.4</v>
      </c>
    </row>
    <row r="29" ht="13.5" customHeight="1">
      <c r="A29" s="18">
        <v>0.9</v>
      </c>
      <c r="B29" s="18">
        <v>0.3</v>
      </c>
      <c r="C29" s="19">
        <f>Inputs!$B$4*A29</f>
        <v>740790000</v>
      </c>
      <c r="D29" s="20">
        <f>Inputs!$B$9*(1-B29)</f>
        <v>0.105</v>
      </c>
      <c r="E29" s="19">
        <f t="shared" si="1"/>
        <v>77782950</v>
      </c>
      <c r="F29" s="20">
        <f>MAX(0,Inputs!$B$10-D29)</f>
        <v>0.035</v>
      </c>
      <c r="G29" s="19">
        <f t="shared" si="2"/>
        <v>25927650</v>
      </c>
      <c r="H29" s="19">
        <f>(MAX(0,IF((Inputs!$B$5+C29)&lt;=14000000,(Inputs!$B$5+C29)*0.06,IF((Inputs!$B$5+C29)&lt;=50000000,(Inputs!$B$5+C29)*0.14-1260000,IF((Inputs!$B$5+C29)&lt;=88000000,(Inputs!$B$5+C29)*0.24-6260000,IF((Inputs!$B$5+C29)&lt;=150000000,(Inputs!$B$5+C29)*0.35-15940000,IF((Inputs!$B$5+C29)&lt;=300000000,(Inputs!$B$5+C29)*0.38-20440000,IF((Inputs!$B$5+C29)&lt;=500000000,(Inputs!$B$5+C29)*0.4-25440000,IF((Inputs!$B$5+C29)&lt;=1000000000,(Inputs!$B$5+C29)*0.42-35440000,(Inputs!$B$5+C29)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+(((MAX(0,IF((Inputs!$B$5+C29)&lt;=14000000,(Inputs!$B$5+C29)*0.06,IF((Inputs!$B$5+C29)&lt;=50000000,(Inputs!$B$5+C29)*0.14-1260000,IF((Inputs!$B$5+C29)&lt;=88000000,(Inputs!$B$5+C29)*0.24-6260000,IF((Inputs!$B$5+C29)&lt;=150000000,(Inputs!$B$5+C29)*0.35-15940000,IF((Inputs!$B$5+C29)&lt;=300000000,(Inputs!$B$5+C29)*0.38-20440000,IF((Inputs!$B$5+C29)&lt;=500000000,(Inputs!$B$5+C29)*0.4-25440000,IF((Inputs!$B$5+C29)&lt;=1000000000,(Inputs!$B$5+C29)*0.42-35440000,(Inputs!$B$5+C29)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)*Inputs!$B$11)+((IF(Inputs!$B$14="Employee",MAX(0,C29-Inputs!$B$13),C29))*Inputs!$B$12)</f>
        <v>367080838.6</v>
      </c>
      <c r="I29" s="21">
        <f t="shared" si="3"/>
        <v>4.719296949</v>
      </c>
      <c r="J29" s="19">
        <f>Inputs!$B$4*(1+Inputs!$B$8)-E29</f>
        <v>745317050</v>
      </c>
      <c r="K29" s="19">
        <f>Inputs!$B$4*(1+Inputs!$B$8)-H29</f>
        <v>456019161.4</v>
      </c>
    </row>
    <row r="30" ht="13.5" customHeight="1">
      <c r="A30" s="18">
        <v>0.9</v>
      </c>
      <c r="B30" s="18">
        <v>0.6</v>
      </c>
      <c r="C30" s="19">
        <f>Inputs!$B$4*A30</f>
        <v>740790000</v>
      </c>
      <c r="D30" s="20">
        <f>Inputs!$B$9*(1-B30)</f>
        <v>0.06</v>
      </c>
      <c r="E30" s="19">
        <f t="shared" si="1"/>
        <v>44447400</v>
      </c>
      <c r="F30" s="20">
        <f>MAX(0,Inputs!$B$10-D30)</f>
        <v>0.08</v>
      </c>
      <c r="G30" s="19">
        <f t="shared" si="2"/>
        <v>59263200</v>
      </c>
      <c r="H30" s="19">
        <f>(MAX(0,IF((Inputs!$B$5+C30)&lt;=14000000,(Inputs!$B$5+C30)*0.06,IF((Inputs!$B$5+C30)&lt;=50000000,(Inputs!$B$5+C30)*0.14-1260000,IF((Inputs!$B$5+C30)&lt;=88000000,(Inputs!$B$5+C30)*0.24-6260000,IF((Inputs!$B$5+C30)&lt;=150000000,(Inputs!$B$5+C30)*0.35-15940000,IF((Inputs!$B$5+C30)&lt;=300000000,(Inputs!$B$5+C30)*0.38-20440000,IF((Inputs!$B$5+C30)&lt;=500000000,(Inputs!$B$5+C30)*0.4-25440000,IF((Inputs!$B$5+C30)&lt;=1000000000,(Inputs!$B$5+C30)*0.42-35440000,(Inputs!$B$5+C30)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+(((MAX(0,IF((Inputs!$B$5+C30)&lt;=14000000,(Inputs!$B$5+C30)*0.06,IF((Inputs!$B$5+C30)&lt;=50000000,(Inputs!$B$5+C30)*0.14-1260000,IF((Inputs!$B$5+C30)&lt;=88000000,(Inputs!$B$5+C30)*0.24-6260000,IF((Inputs!$B$5+C30)&lt;=150000000,(Inputs!$B$5+C30)*0.35-15940000,IF((Inputs!$B$5+C30)&lt;=300000000,(Inputs!$B$5+C30)*0.38-20440000,IF((Inputs!$B$5+C30)&lt;=500000000,(Inputs!$B$5+C30)*0.4-25440000,IF((Inputs!$B$5+C30)&lt;=1000000000,(Inputs!$B$5+C30)*0.42-35440000,(Inputs!$B$5+C30)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)*Inputs!$B$11)+((IF(Inputs!$B$14="Employee",MAX(0,C30-Inputs!$B$13),C30))*Inputs!$B$12)</f>
        <v>367080838.6</v>
      </c>
      <c r="I30" s="21">
        <f t="shared" si="3"/>
        <v>8.25876966</v>
      </c>
      <c r="J30" s="19">
        <f>Inputs!$B$4*(1+Inputs!$B$8)-E30</f>
        <v>778652600</v>
      </c>
      <c r="K30" s="19">
        <f>Inputs!$B$4*(1+Inputs!$B$8)-H30</f>
        <v>456019161.4</v>
      </c>
    </row>
    <row r="31" ht="13.5" customHeight="1">
      <c r="A31" s="18">
        <v>0.9</v>
      </c>
      <c r="B31" s="18">
        <v>0.9</v>
      </c>
      <c r="C31" s="19">
        <f>Inputs!$B$4*A31</f>
        <v>740790000</v>
      </c>
      <c r="D31" s="20">
        <f>Inputs!$B$9*(1-B31)</f>
        <v>0.015</v>
      </c>
      <c r="E31" s="19">
        <f t="shared" si="1"/>
        <v>11111850</v>
      </c>
      <c r="F31" s="20">
        <f>MAX(0,Inputs!$B$10-D31)</f>
        <v>0.125</v>
      </c>
      <c r="G31" s="19">
        <f t="shared" si="2"/>
        <v>92598750</v>
      </c>
      <c r="H31" s="19">
        <f>(MAX(0,IF((Inputs!$B$5+C31)&lt;=14000000,(Inputs!$B$5+C31)*0.06,IF((Inputs!$B$5+C31)&lt;=50000000,(Inputs!$B$5+C31)*0.14-1260000,IF((Inputs!$B$5+C31)&lt;=88000000,(Inputs!$B$5+C31)*0.24-6260000,IF((Inputs!$B$5+C31)&lt;=150000000,(Inputs!$B$5+C31)*0.35-15940000,IF((Inputs!$B$5+C31)&lt;=300000000,(Inputs!$B$5+C31)*0.38-20440000,IF((Inputs!$B$5+C31)&lt;=500000000,(Inputs!$B$5+C31)*0.4-25440000,IF((Inputs!$B$5+C31)&lt;=1000000000,(Inputs!$B$5+C31)*0.42-35440000,(Inputs!$B$5+C31)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+(((MAX(0,IF((Inputs!$B$5+C31)&lt;=14000000,(Inputs!$B$5+C31)*0.06,IF((Inputs!$B$5+C31)&lt;=50000000,(Inputs!$B$5+C31)*0.14-1260000,IF((Inputs!$B$5+C31)&lt;=88000000,(Inputs!$B$5+C31)*0.24-6260000,IF((Inputs!$B$5+C31)&lt;=150000000,(Inputs!$B$5+C31)*0.35-15940000,IF((Inputs!$B$5+C31)&lt;=300000000,(Inputs!$B$5+C31)*0.38-20440000,IF((Inputs!$B$5+C31)&lt;=500000000,(Inputs!$B$5+C31)*0.4-25440000,IF((Inputs!$B$5+C31)&lt;=1000000000,(Inputs!$B$5+C31)*0.42-35440000,(Inputs!$B$5+C31)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)*Inputs!$B$11)+((IF(Inputs!$B$14="Employee",MAX(0,C31-Inputs!$B$13),C31))*Inputs!$B$12)</f>
        <v>367080838.6</v>
      </c>
      <c r="I31" s="21">
        <f t="shared" si="3"/>
        <v>33.03507864</v>
      </c>
      <c r="J31" s="19">
        <f>Inputs!$B$4*(1+Inputs!$B$8)-E31</f>
        <v>811988150</v>
      </c>
      <c r="K31" s="19">
        <f>Inputs!$B$4*(1+Inputs!$B$8)-H31</f>
        <v>456019161.4</v>
      </c>
    </row>
    <row r="32" ht="13.5" customHeight="1">
      <c r="A32" s="18">
        <v>0.9</v>
      </c>
      <c r="B32" s="18">
        <v>0.99</v>
      </c>
      <c r="C32" s="19">
        <f>Inputs!$B$4*A32</f>
        <v>740790000</v>
      </c>
      <c r="D32" s="20">
        <f>Inputs!$B$9*(1-B32)</f>
        <v>0.0015</v>
      </c>
      <c r="E32" s="19">
        <f t="shared" si="1"/>
        <v>1111185</v>
      </c>
      <c r="F32" s="20">
        <f>MAX(0,Inputs!$B$10-D32)</f>
        <v>0.1385</v>
      </c>
      <c r="G32" s="19">
        <f t="shared" si="2"/>
        <v>102599415</v>
      </c>
      <c r="H32" s="19">
        <f>(MAX(0,IF((Inputs!$B$5+C32)&lt;=14000000,(Inputs!$B$5+C32)*0.06,IF((Inputs!$B$5+C32)&lt;=50000000,(Inputs!$B$5+C32)*0.14-1260000,IF((Inputs!$B$5+C32)&lt;=88000000,(Inputs!$B$5+C32)*0.24-6260000,IF((Inputs!$B$5+C32)&lt;=150000000,(Inputs!$B$5+C32)*0.35-15940000,IF((Inputs!$B$5+C32)&lt;=300000000,(Inputs!$B$5+C32)*0.38-20440000,IF((Inputs!$B$5+C32)&lt;=500000000,(Inputs!$B$5+C32)*0.4-25440000,IF((Inputs!$B$5+C32)&lt;=1000000000,(Inputs!$B$5+C32)*0.42-35440000,(Inputs!$B$5+C32)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+(((MAX(0,IF((Inputs!$B$5+C32)&lt;=14000000,(Inputs!$B$5+C32)*0.06,IF((Inputs!$B$5+C32)&lt;=50000000,(Inputs!$B$5+C32)*0.14-1260000,IF((Inputs!$B$5+C32)&lt;=88000000,(Inputs!$B$5+C32)*0.24-6260000,IF((Inputs!$B$5+C32)&lt;=150000000,(Inputs!$B$5+C32)*0.35-15940000,IF((Inputs!$B$5+C32)&lt;=300000000,(Inputs!$B$5+C32)*0.38-20440000,IF((Inputs!$B$5+C32)&lt;=500000000,(Inputs!$B$5+C32)*0.4-25440000,IF((Inputs!$B$5+C32)&lt;=1000000000,(Inputs!$B$5+C32)*0.42-35440000,(Inputs!$B$5+C32)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)*Inputs!$B$11)+((IF(Inputs!$B$14="Employee",MAX(0,C32-Inputs!$B$13),C32))*Inputs!$B$12)</f>
        <v>367080838.6</v>
      </c>
      <c r="I32" s="21">
        <f t="shared" si="3"/>
        <v>330.3507864</v>
      </c>
      <c r="J32" s="19">
        <f>Inputs!$B$4*(1+Inputs!$B$8)-E32</f>
        <v>821988815</v>
      </c>
      <c r="K32" s="19">
        <f>Inputs!$B$4*(1+Inputs!$B$8)-H32</f>
        <v>456019161.4</v>
      </c>
    </row>
    <row r="33" ht="13.5" customHeight="1">
      <c r="A33" s="18">
        <v>0.9</v>
      </c>
      <c r="B33" s="18">
        <v>1.0</v>
      </c>
      <c r="C33" s="19">
        <f>Inputs!$B$4*A33</f>
        <v>740790000</v>
      </c>
      <c r="D33" s="20">
        <f>Inputs!$B$9*(1-B33)</f>
        <v>0</v>
      </c>
      <c r="E33" s="19">
        <f t="shared" si="1"/>
        <v>0</v>
      </c>
      <c r="F33" s="20">
        <f>MAX(0,Inputs!$B$10-D33)</f>
        <v>0.14</v>
      </c>
      <c r="G33" s="19">
        <f t="shared" si="2"/>
        <v>103710600</v>
      </c>
      <c r="H33" s="19">
        <f>(MAX(0,IF((Inputs!$B$5+C33)&lt;=14000000,(Inputs!$B$5+C33)*0.06,IF((Inputs!$B$5+C33)&lt;=50000000,(Inputs!$B$5+C33)*0.14-1260000,IF((Inputs!$B$5+C33)&lt;=88000000,(Inputs!$B$5+C33)*0.24-6260000,IF((Inputs!$B$5+C33)&lt;=150000000,(Inputs!$B$5+C33)*0.35-15940000,IF((Inputs!$B$5+C33)&lt;=300000000,(Inputs!$B$5+C33)*0.38-20440000,IF((Inputs!$B$5+C33)&lt;=500000000,(Inputs!$B$5+C33)*0.4-25440000,IF((Inputs!$B$5+C33)&lt;=1000000000,(Inputs!$B$5+C33)*0.42-35440000,(Inputs!$B$5+C33)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+(((MAX(0,IF((Inputs!$B$5+C33)&lt;=14000000,(Inputs!$B$5+C33)*0.06,IF((Inputs!$B$5+C33)&lt;=50000000,(Inputs!$B$5+C33)*0.14-1260000,IF((Inputs!$B$5+C33)&lt;=88000000,(Inputs!$B$5+C33)*0.24-6260000,IF((Inputs!$B$5+C33)&lt;=150000000,(Inputs!$B$5+C33)*0.35-15940000,IF((Inputs!$B$5+C33)&lt;=300000000,(Inputs!$B$5+C33)*0.38-20440000,IF((Inputs!$B$5+C33)&lt;=500000000,(Inputs!$B$5+C33)*0.4-25440000,IF((Inputs!$B$5+C33)&lt;=1000000000,(Inputs!$B$5+C33)*0.42-35440000,(Inputs!$B$5+C33)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)*Inputs!$B$11)+((IF(Inputs!$B$14="Employee",MAX(0,C33-Inputs!$B$13),C33))*Inputs!$B$12)</f>
        <v>367080838.6</v>
      </c>
      <c r="I33" s="21" t="str">
        <f t="shared" si="3"/>
        <v>Undefined</v>
      </c>
      <c r="J33" s="19">
        <f>Inputs!$B$4*(1+Inputs!$B$8)-E33</f>
        <v>823100000</v>
      </c>
      <c r="K33" s="19">
        <f>Inputs!$B$4*(1+Inputs!$B$8)-H33</f>
        <v>456019161.4</v>
      </c>
    </row>
    <row r="34" ht="13.5" customHeight="1">
      <c r="A34" s="18">
        <v>1.0</v>
      </c>
      <c r="B34" s="18">
        <v>0.0</v>
      </c>
      <c r="C34" s="19">
        <f>Inputs!$B$4*A34</f>
        <v>823100000</v>
      </c>
      <c r="D34" s="20">
        <f>Inputs!$B$9*(1-B34)</f>
        <v>0.15</v>
      </c>
      <c r="E34" s="19">
        <f t="shared" si="1"/>
        <v>123465000</v>
      </c>
      <c r="F34" s="20">
        <f>MAX(0,Inputs!$B$10-D34)</f>
        <v>0</v>
      </c>
      <c r="G34" s="19">
        <f t="shared" si="2"/>
        <v>0</v>
      </c>
      <c r="H34" s="19">
        <f>(MAX(0,IF((Inputs!$B$5+C34)&lt;=14000000,(Inputs!$B$5+C34)*0.06,IF((Inputs!$B$5+C34)&lt;=50000000,(Inputs!$B$5+C34)*0.14-1260000,IF((Inputs!$B$5+C34)&lt;=88000000,(Inputs!$B$5+C34)*0.24-6260000,IF((Inputs!$B$5+C34)&lt;=150000000,(Inputs!$B$5+C34)*0.35-15940000,IF((Inputs!$B$5+C34)&lt;=300000000,(Inputs!$B$5+C34)*0.38-20440000,IF((Inputs!$B$5+C34)&lt;=500000000,(Inputs!$B$5+C34)*0.4-25440000,IF((Inputs!$B$5+C34)&lt;=1000000000,(Inputs!$B$5+C34)*0.42-35440000,(Inputs!$B$5+C34)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+(((MAX(0,IF((Inputs!$B$5+C34)&lt;=14000000,(Inputs!$B$5+C34)*0.06,IF((Inputs!$B$5+C34)&lt;=50000000,(Inputs!$B$5+C34)*0.14-1260000,IF((Inputs!$B$5+C34)&lt;=88000000,(Inputs!$B$5+C34)*0.24-6260000,IF((Inputs!$B$5+C34)&lt;=150000000,(Inputs!$B$5+C34)*0.35-15940000,IF((Inputs!$B$5+C34)&lt;=300000000,(Inputs!$B$5+C34)*0.38-20440000,IF((Inputs!$B$5+C34)&lt;=500000000,(Inputs!$B$5+C34)*0.4-25440000,IF((Inputs!$B$5+C34)&lt;=1000000000,(Inputs!$B$5+C34)*0.42-35440000,(Inputs!$B$5+C34)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)*Inputs!$B$11)+((IF(Inputs!$B$14="Employee",MAX(0,C34-Inputs!$B$13),C34))*Inputs!$B$12)</f>
        <v>411803154</v>
      </c>
      <c r="I34" s="21">
        <f t="shared" si="3"/>
        <v>3.335383744</v>
      </c>
      <c r="J34" s="19">
        <f>Inputs!$B$4*(1+Inputs!$B$8)-E34</f>
        <v>699635000</v>
      </c>
      <c r="K34" s="19">
        <f>Inputs!$B$4*(1+Inputs!$B$8)-H34</f>
        <v>411296846</v>
      </c>
    </row>
    <row r="35" ht="13.5" customHeight="1">
      <c r="A35" s="18">
        <v>1.0</v>
      </c>
      <c r="B35" s="18">
        <v>0.3</v>
      </c>
      <c r="C35" s="19">
        <f>Inputs!$B$4*A35</f>
        <v>823100000</v>
      </c>
      <c r="D35" s="20">
        <f>Inputs!$B$9*(1-B35)</f>
        <v>0.105</v>
      </c>
      <c r="E35" s="19">
        <f t="shared" si="1"/>
        <v>86425500</v>
      </c>
      <c r="F35" s="20">
        <f>MAX(0,Inputs!$B$10-D35)</f>
        <v>0.035</v>
      </c>
      <c r="G35" s="19">
        <f t="shared" si="2"/>
        <v>28808500</v>
      </c>
      <c r="H35" s="19">
        <f>(MAX(0,IF((Inputs!$B$5+C35)&lt;=14000000,(Inputs!$B$5+C35)*0.06,IF((Inputs!$B$5+C35)&lt;=50000000,(Inputs!$B$5+C35)*0.14-1260000,IF((Inputs!$B$5+C35)&lt;=88000000,(Inputs!$B$5+C35)*0.24-6260000,IF((Inputs!$B$5+C35)&lt;=150000000,(Inputs!$B$5+C35)*0.35-15940000,IF((Inputs!$B$5+C35)&lt;=300000000,(Inputs!$B$5+C35)*0.38-20440000,IF((Inputs!$B$5+C35)&lt;=500000000,(Inputs!$B$5+C35)*0.4-25440000,IF((Inputs!$B$5+C35)&lt;=1000000000,(Inputs!$B$5+C35)*0.42-35440000,(Inputs!$B$5+C35)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+(((MAX(0,IF((Inputs!$B$5+C35)&lt;=14000000,(Inputs!$B$5+C35)*0.06,IF((Inputs!$B$5+C35)&lt;=50000000,(Inputs!$B$5+C35)*0.14-1260000,IF((Inputs!$B$5+C35)&lt;=88000000,(Inputs!$B$5+C35)*0.24-6260000,IF((Inputs!$B$5+C35)&lt;=150000000,(Inputs!$B$5+C35)*0.35-15940000,IF((Inputs!$B$5+C35)&lt;=300000000,(Inputs!$B$5+C35)*0.38-20440000,IF((Inputs!$B$5+C35)&lt;=500000000,(Inputs!$B$5+C35)*0.4-25440000,IF((Inputs!$B$5+C35)&lt;=1000000000,(Inputs!$B$5+C35)*0.42-35440000,(Inputs!$B$5+C35)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)*Inputs!$B$11)+((IF(Inputs!$B$14="Employee",MAX(0,C35-Inputs!$B$13),C35))*Inputs!$B$12)</f>
        <v>411803154</v>
      </c>
      <c r="I35" s="21">
        <f t="shared" si="3"/>
        <v>4.764833921</v>
      </c>
      <c r="J35" s="19">
        <f>Inputs!$B$4*(1+Inputs!$B$8)-E35</f>
        <v>736674500</v>
      </c>
      <c r="K35" s="19">
        <f>Inputs!$B$4*(1+Inputs!$B$8)-H35</f>
        <v>411296846</v>
      </c>
    </row>
    <row r="36" ht="13.5" customHeight="1">
      <c r="A36" s="18">
        <v>1.0</v>
      </c>
      <c r="B36" s="18">
        <v>0.6</v>
      </c>
      <c r="C36" s="19">
        <f>Inputs!$B$4*A36</f>
        <v>823100000</v>
      </c>
      <c r="D36" s="20">
        <f>Inputs!$B$9*(1-B36)</f>
        <v>0.06</v>
      </c>
      <c r="E36" s="19">
        <f t="shared" si="1"/>
        <v>49386000</v>
      </c>
      <c r="F36" s="20">
        <f>MAX(0,Inputs!$B$10-D36)</f>
        <v>0.08</v>
      </c>
      <c r="G36" s="19">
        <f t="shared" si="2"/>
        <v>65848000</v>
      </c>
      <c r="H36" s="19">
        <f>(MAX(0,IF((Inputs!$B$5+C36)&lt;=14000000,(Inputs!$B$5+C36)*0.06,IF((Inputs!$B$5+C36)&lt;=50000000,(Inputs!$B$5+C36)*0.14-1260000,IF((Inputs!$B$5+C36)&lt;=88000000,(Inputs!$B$5+C36)*0.24-6260000,IF((Inputs!$B$5+C36)&lt;=150000000,(Inputs!$B$5+C36)*0.35-15940000,IF((Inputs!$B$5+C36)&lt;=300000000,(Inputs!$B$5+C36)*0.38-20440000,IF((Inputs!$B$5+C36)&lt;=500000000,(Inputs!$B$5+C36)*0.4-25440000,IF((Inputs!$B$5+C36)&lt;=1000000000,(Inputs!$B$5+C36)*0.42-35440000,(Inputs!$B$5+C36)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+(((MAX(0,IF((Inputs!$B$5+C36)&lt;=14000000,(Inputs!$B$5+C36)*0.06,IF((Inputs!$B$5+C36)&lt;=50000000,(Inputs!$B$5+C36)*0.14-1260000,IF((Inputs!$B$5+C36)&lt;=88000000,(Inputs!$B$5+C36)*0.24-6260000,IF((Inputs!$B$5+C36)&lt;=150000000,(Inputs!$B$5+C36)*0.35-15940000,IF((Inputs!$B$5+C36)&lt;=300000000,(Inputs!$B$5+C36)*0.38-20440000,IF((Inputs!$B$5+C36)&lt;=500000000,(Inputs!$B$5+C36)*0.4-25440000,IF((Inputs!$B$5+C36)&lt;=1000000000,(Inputs!$B$5+C36)*0.42-35440000,(Inputs!$B$5+C36)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)*Inputs!$B$11)+((IF(Inputs!$B$14="Employee",MAX(0,C36-Inputs!$B$13),C36))*Inputs!$B$12)</f>
        <v>411803154</v>
      </c>
      <c r="I36" s="21">
        <f t="shared" si="3"/>
        <v>8.338459361</v>
      </c>
      <c r="J36" s="19">
        <f>Inputs!$B$4*(1+Inputs!$B$8)-E36</f>
        <v>773714000</v>
      </c>
      <c r="K36" s="19">
        <f>Inputs!$B$4*(1+Inputs!$B$8)-H36</f>
        <v>411296846</v>
      </c>
    </row>
    <row r="37" ht="13.5" customHeight="1">
      <c r="A37" s="18">
        <v>1.0</v>
      </c>
      <c r="B37" s="18">
        <v>0.9</v>
      </c>
      <c r="C37" s="19">
        <f>Inputs!$B$4*A37</f>
        <v>823100000</v>
      </c>
      <c r="D37" s="20">
        <f>Inputs!$B$9*(1-B37)</f>
        <v>0.015</v>
      </c>
      <c r="E37" s="19">
        <f t="shared" si="1"/>
        <v>12346500</v>
      </c>
      <c r="F37" s="20">
        <f>MAX(0,Inputs!$B$10-D37)</f>
        <v>0.125</v>
      </c>
      <c r="G37" s="19">
        <f t="shared" si="2"/>
        <v>102887500</v>
      </c>
      <c r="H37" s="19">
        <f>(MAX(0,IF((Inputs!$B$5+C37)&lt;=14000000,(Inputs!$B$5+C37)*0.06,IF((Inputs!$B$5+C37)&lt;=50000000,(Inputs!$B$5+C37)*0.14-1260000,IF((Inputs!$B$5+C37)&lt;=88000000,(Inputs!$B$5+C37)*0.24-6260000,IF((Inputs!$B$5+C37)&lt;=150000000,(Inputs!$B$5+C37)*0.35-15940000,IF((Inputs!$B$5+C37)&lt;=300000000,(Inputs!$B$5+C37)*0.38-20440000,IF((Inputs!$B$5+C37)&lt;=500000000,(Inputs!$B$5+C37)*0.4-25440000,IF((Inputs!$B$5+C37)&lt;=1000000000,(Inputs!$B$5+C37)*0.42-35440000,(Inputs!$B$5+C37)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+(((MAX(0,IF((Inputs!$B$5+C37)&lt;=14000000,(Inputs!$B$5+C37)*0.06,IF((Inputs!$B$5+C37)&lt;=50000000,(Inputs!$B$5+C37)*0.14-1260000,IF((Inputs!$B$5+C37)&lt;=88000000,(Inputs!$B$5+C37)*0.24-6260000,IF((Inputs!$B$5+C37)&lt;=150000000,(Inputs!$B$5+C37)*0.35-15940000,IF((Inputs!$B$5+C37)&lt;=300000000,(Inputs!$B$5+C37)*0.38-20440000,IF((Inputs!$B$5+C37)&lt;=500000000,(Inputs!$B$5+C37)*0.4-25440000,IF((Inputs!$B$5+C37)&lt;=1000000000,(Inputs!$B$5+C37)*0.42-35440000,(Inputs!$B$5+C37)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)*Inputs!$B$11)+((IF(Inputs!$B$14="Employee",MAX(0,C37-Inputs!$B$13),C37))*Inputs!$B$12)</f>
        <v>411803154</v>
      </c>
      <c r="I37" s="21">
        <f t="shared" si="3"/>
        <v>33.35383744</v>
      </c>
      <c r="J37" s="19">
        <f>Inputs!$B$4*(1+Inputs!$B$8)-E37</f>
        <v>810753500</v>
      </c>
      <c r="K37" s="19">
        <f>Inputs!$B$4*(1+Inputs!$B$8)-H37</f>
        <v>411296846</v>
      </c>
    </row>
    <row r="38" ht="13.5" customHeight="1">
      <c r="A38" s="18">
        <v>1.0</v>
      </c>
      <c r="B38" s="18">
        <v>0.99</v>
      </c>
      <c r="C38" s="19">
        <f>Inputs!$B$4*A38</f>
        <v>823100000</v>
      </c>
      <c r="D38" s="20">
        <f>Inputs!$B$9*(1-B38)</f>
        <v>0.0015</v>
      </c>
      <c r="E38" s="19">
        <f t="shared" si="1"/>
        <v>1234650</v>
      </c>
      <c r="F38" s="20">
        <f>MAX(0,Inputs!$B$10-D38)</f>
        <v>0.1385</v>
      </c>
      <c r="G38" s="19">
        <f t="shared" si="2"/>
        <v>113999350</v>
      </c>
      <c r="H38" s="19">
        <f>(MAX(0,IF((Inputs!$B$5+C38)&lt;=14000000,(Inputs!$B$5+C38)*0.06,IF((Inputs!$B$5+C38)&lt;=50000000,(Inputs!$B$5+C38)*0.14-1260000,IF((Inputs!$B$5+C38)&lt;=88000000,(Inputs!$B$5+C38)*0.24-6260000,IF((Inputs!$B$5+C38)&lt;=150000000,(Inputs!$B$5+C38)*0.35-15940000,IF((Inputs!$B$5+C38)&lt;=300000000,(Inputs!$B$5+C38)*0.38-20440000,IF((Inputs!$B$5+C38)&lt;=500000000,(Inputs!$B$5+C38)*0.4-25440000,IF((Inputs!$B$5+C38)&lt;=1000000000,(Inputs!$B$5+C38)*0.42-35440000,(Inputs!$B$5+C38)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+(((MAX(0,IF((Inputs!$B$5+C38)&lt;=14000000,(Inputs!$B$5+C38)*0.06,IF((Inputs!$B$5+C38)&lt;=50000000,(Inputs!$B$5+C38)*0.14-1260000,IF((Inputs!$B$5+C38)&lt;=88000000,(Inputs!$B$5+C38)*0.24-6260000,IF((Inputs!$B$5+C38)&lt;=150000000,(Inputs!$B$5+C38)*0.35-15940000,IF((Inputs!$B$5+C38)&lt;=300000000,(Inputs!$B$5+C38)*0.38-20440000,IF((Inputs!$B$5+C38)&lt;=500000000,(Inputs!$B$5+C38)*0.4-25440000,IF((Inputs!$B$5+C38)&lt;=1000000000,(Inputs!$B$5+C38)*0.42-35440000,(Inputs!$B$5+C38)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)*Inputs!$B$11)+((IF(Inputs!$B$14="Employee",MAX(0,C38-Inputs!$B$13),C38))*Inputs!$B$12)</f>
        <v>411803154</v>
      </c>
      <c r="I38" s="21">
        <f t="shared" si="3"/>
        <v>333.5383744</v>
      </c>
      <c r="J38" s="19">
        <f>Inputs!$B$4*(1+Inputs!$B$8)-E38</f>
        <v>821865350</v>
      </c>
      <c r="K38" s="19">
        <f>Inputs!$B$4*(1+Inputs!$B$8)-H38</f>
        <v>411296846</v>
      </c>
    </row>
    <row r="39" ht="13.5" customHeight="1">
      <c r="A39" s="18">
        <v>1.0</v>
      </c>
      <c r="B39" s="18">
        <v>1.0</v>
      </c>
      <c r="C39" s="19">
        <f>Inputs!$B$4*A39</f>
        <v>823100000</v>
      </c>
      <c r="D39" s="20">
        <f>Inputs!$B$9*(1-B39)</f>
        <v>0</v>
      </c>
      <c r="E39" s="19">
        <f t="shared" si="1"/>
        <v>0</v>
      </c>
      <c r="F39" s="20">
        <f>MAX(0,Inputs!$B$10-D39)</f>
        <v>0.14</v>
      </c>
      <c r="G39" s="19">
        <f t="shared" si="2"/>
        <v>115234000</v>
      </c>
      <c r="H39" s="19">
        <f>(MAX(0,IF((Inputs!$B$5+C39)&lt;=14000000,(Inputs!$B$5+C39)*0.06,IF((Inputs!$B$5+C39)&lt;=50000000,(Inputs!$B$5+C39)*0.14-1260000,IF((Inputs!$B$5+C39)&lt;=88000000,(Inputs!$B$5+C39)*0.24-6260000,IF((Inputs!$B$5+C39)&lt;=150000000,(Inputs!$B$5+C39)*0.35-15940000,IF((Inputs!$B$5+C39)&lt;=300000000,(Inputs!$B$5+C39)*0.38-20440000,IF((Inputs!$B$5+C39)&lt;=500000000,(Inputs!$B$5+C39)*0.4-25440000,IF((Inputs!$B$5+C39)&lt;=1000000000,(Inputs!$B$5+C39)*0.42-35440000,(Inputs!$B$5+C39)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+(((MAX(0,IF((Inputs!$B$5+C39)&lt;=14000000,(Inputs!$B$5+C39)*0.06,IF((Inputs!$B$5+C39)&lt;=50000000,(Inputs!$B$5+C39)*0.14-1260000,IF((Inputs!$B$5+C39)&lt;=88000000,(Inputs!$B$5+C39)*0.24-6260000,IF((Inputs!$B$5+C39)&lt;=150000000,(Inputs!$B$5+C39)*0.35-15940000,IF((Inputs!$B$5+C39)&lt;=300000000,(Inputs!$B$5+C39)*0.38-20440000,IF((Inputs!$B$5+C39)&lt;=500000000,(Inputs!$B$5+C39)*0.4-25440000,IF((Inputs!$B$5+C39)&lt;=1000000000,(Inputs!$B$5+C39)*0.42-35440000,(Inputs!$B$5+C39)*0.45-72340000)))))))))-(MAX(0,IF(Inputs!$B$5&lt;=14000000,Inputs!$B$5*0.06,IF(Inputs!$B$5&lt;=50000000,Inputs!$B$5*0.14-1260000,IF(Inputs!$B$5&lt;=88000000,Inputs!$B$5*0.24-6260000,IF(Inputs!$B$5&lt;=150000000,Inputs!$B$5*0.35-15940000,IF(Inputs!$B$5&lt;=300000000,Inputs!$B$5*0.38-20440000,IF(Inputs!$B$5&lt;=500000000,Inputs!$B$5*0.4-25440000,IF(Inputs!$B$5&lt;=1000000000,Inputs!$B$5*0.42-35440000,Inputs!$B$5*0.45-72340000))))))))))*Inputs!$B$11)+((IF(Inputs!$B$14="Employee",MAX(0,C39-Inputs!$B$13),C39))*Inputs!$B$12)</f>
        <v>411803154</v>
      </c>
      <c r="I39" s="21" t="str">
        <f t="shared" si="3"/>
        <v>Undefined</v>
      </c>
      <c r="J39" s="19">
        <f>Inputs!$B$4*(1+Inputs!$B$8)-E39</f>
        <v>823100000</v>
      </c>
      <c r="K39" s="19">
        <f>Inputs!$B$4*(1+Inputs!$B$8)-H39</f>
        <v>411296846</v>
      </c>
    </row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K1"/>
  </mergeCells>
  <conditionalFormatting sqref="I4:I39">
    <cfRule type="cellIs" dxfId="4" priority="1" operator="greaterThan">
      <formula>10</formula>
    </cfRule>
  </conditionalFormatting>
  <conditionalFormatting sqref="K4:K39">
    <cfRule type="cellIs" dxfId="5" priority="2" operator="lessThan">
      <formula>100000000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65.0"/>
    <col customWidth="1" min="3" max="3" width="55.0"/>
    <col customWidth="1" min="4" max="26" width="8.63"/>
  </cols>
  <sheetData>
    <row r="1" ht="13.5" customHeight="1">
      <c r="A1" s="1" t="s">
        <v>122</v>
      </c>
      <c r="B1" s="2"/>
      <c r="C1" s="3"/>
    </row>
    <row r="2" ht="13.5" customHeight="1"/>
    <row r="3" ht="13.5" customHeight="1">
      <c r="A3" s="22" t="s">
        <v>123</v>
      </c>
      <c r="B3" s="22" t="s">
        <v>124</v>
      </c>
      <c r="C3" s="22" t="s">
        <v>125</v>
      </c>
    </row>
    <row r="4" ht="13.5" customHeight="1">
      <c r="A4" s="23" t="s">
        <v>126</v>
      </c>
      <c r="B4" s="23" t="s">
        <v>127</v>
      </c>
      <c r="C4" s="23" t="s">
        <v>128</v>
      </c>
    </row>
    <row r="5" ht="13.5" customHeight="1">
      <c r="A5" s="23" t="s">
        <v>129</v>
      </c>
      <c r="B5" s="23" t="s">
        <v>130</v>
      </c>
      <c r="C5" s="23" t="s">
        <v>131</v>
      </c>
    </row>
    <row r="6" ht="13.5" customHeight="1">
      <c r="A6" s="23" t="s">
        <v>132</v>
      </c>
      <c r="B6" s="23" t="s">
        <v>133</v>
      </c>
      <c r="C6" s="23" t="s">
        <v>134</v>
      </c>
    </row>
    <row r="7" ht="13.5" customHeight="1">
      <c r="A7" s="23" t="s">
        <v>135</v>
      </c>
      <c r="B7" s="23" t="s">
        <v>136</v>
      </c>
      <c r="C7" s="23" t="s">
        <v>137</v>
      </c>
    </row>
    <row r="8" ht="13.5" customHeight="1">
      <c r="A8" s="23" t="s">
        <v>138</v>
      </c>
      <c r="B8" s="23" t="s">
        <v>139</v>
      </c>
      <c r="C8" s="23" t="s">
        <v>140</v>
      </c>
    </row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2026-05-21T01:23:46Z</dcterms:created>
  <dc:creator>Owner</dc:creator>
</cp:coreProperties>
</file>